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AMD POS\AMD POS\"/>
    </mc:Choice>
  </mc:AlternateContent>
  <xr:revisionPtr revIDLastSave="0" documentId="13_ncr:1_{725344AC-D1DC-46DC-A0DA-52C05050D7A7}" xr6:coauthVersionLast="47" xr6:coauthVersionMax="47" xr10:uidLastSave="{00000000-0000-0000-0000-000000000000}"/>
  <bookViews>
    <workbookView xWindow="-120" yWindow="-120" windowWidth="29040" windowHeight="16440" tabRatio="500" activeTab="1" xr2:uid="{00000000-000D-0000-FFFF-FFFF00000000}"/>
  </bookViews>
  <sheets>
    <sheet name="Summary" sheetId="1" r:id="rId1"/>
    <sheet name="Full Audit" sheetId="2" r:id="rId2"/>
  </sheets>
  <definedNames>
    <definedName name="_xlnm._FilterDatabase" localSheetId="1" hidden="1">'Full Audit'!$A$1:$K$133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7" i="1" l="1"/>
  <c r="C27" i="1"/>
  <c r="D26" i="1"/>
  <c r="C26" i="1"/>
  <c r="D25" i="1"/>
  <c r="C25" i="1"/>
  <c r="D24" i="1"/>
  <c r="C24" i="1"/>
  <c r="D23" i="1"/>
  <c r="C23" i="1"/>
  <c r="D22" i="1"/>
  <c r="C22" i="1"/>
  <c r="D21" i="1"/>
  <c r="C21" i="1"/>
  <c r="D20" i="1"/>
  <c r="C20" i="1"/>
  <c r="D19" i="1"/>
  <c r="C19" i="1"/>
  <c r="D18" i="1"/>
  <c r="C18" i="1"/>
  <c r="D17" i="1"/>
  <c r="C17" i="1"/>
  <c r="D16" i="1"/>
  <c r="C16" i="1"/>
  <c r="D15" i="1"/>
  <c r="C15" i="1"/>
  <c r="D14" i="1"/>
  <c r="C14" i="1"/>
  <c r="E10" i="1"/>
  <c r="E9" i="1"/>
  <c r="E8" i="1"/>
  <c r="E7" i="1"/>
  <c r="E6" i="1"/>
</calcChain>
</file>

<file path=xl/sharedStrings.xml><?xml version="1.0" encoding="utf-8"?>
<sst xmlns="http://schemas.openxmlformats.org/spreadsheetml/2006/main" count="1309" uniqueCount="500">
  <si>
    <t>VenQore POS — Settings Functionality Audit</t>
  </si>
  <si>
    <t>Every setting audited against the live codebase: does it save, does it load back, and does anything real actually read it?</t>
  </si>
  <si>
    <t>Overall Stats</t>
  </si>
  <si>
    <t>Total settings audited</t>
  </si>
  <si>
    <t>Average working score (all settings)</t>
  </si>
  <si>
    <t>Fully Working (score &gt;= 80)</t>
  </si>
  <si>
    <t>Partially Working / Unverified (40-79)</t>
  </si>
  <si>
    <t>Cosmetic Only / Broken / Dead (&lt; 40)</t>
  </si>
  <si>
    <t>By Section (average working score)</t>
  </si>
  <si>
    <t>Tab / Section</t>
  </si>
  <si>
    <t>Avg. Score</t>
  </si>
  <si>
    <t># Settings</t>
  </si>
  <si>
    <t>Business Info</t>
  </si>
  <si>
    <t>Preferences</t>
  </si>
  <si>
    <t>Sales &amp; Invoicing</t>
  </si>
  <si>
    <t>Taxes</t>
  </si>
  <si>
    <t>Print</t>
  </si>
  <si>
    <t>Messages</t>
  </si>
  <si>
    <t>Party</t>
  </si>
  <si>
    <t>Item</t>
  </si>
  <si>
    <t>Reminders</t>
  </si>
  <si>
    <t>Accounting</t>
  </si>
  <si>
    <t>Security</t>
  </si>
  <si>
    <t>AI &amp; Integrations</t>
  </si>
  <si>
    <t>Backup &amp; Data</t>
  </si>
  <si>
    <t>Factory Reset</t>
  </si>
  <si>
    <t>Top Findings</t>
  </si>
  <si>
    <t>1. FBR Integration is fully simulated. SaleController really calls FbrService on every sale when the toggle is on, but the real HTTP call to FBR's API is commented out in FbrService.php and replaced with a hardcoded mock 'Success' response, a fake invoice number, and a fake QR-code URL. The sale is then permanently marked is_fbr_reported = true.</t>
  </si>
  <si>
    <t>2. The tax rate that actually calculates tax has no UI. Pos.jsx and CreateInvoice.jsx both compute real tax from default_tax_rate, which has zero UI control anywhere. Meanwhile the polished 'Tax Rates' list (GST/VAT names you can add/edit) saves fine but is never read by any calculation.</t>
  </si>
  <si>
    <t>3. WooCommerce card in Settings is disconnected from the real WooCommerce integration. The real sync engine (its own controller, jobs, webhook handler, scheduled poller) never reads the woocommerce_url / consumer key / secret fields in Settings -- it has a completely separate connection flow.</t>
  </si>
  <si>
    <t>4. 'Automatic Daily Backups' toggle doesn't control any scheduled backup. The only scheduled backup job in routes/console.php runs off Tenant.google_backup_enabled + an OAuth token, not this Setting.</t>
  </si>
  <si>
    <t>5. Two-Factor Authentication toggle has no enforcement anywhere in the login flow -- it saves, but provides no real extra security.</t>
  </si>
  <si>
    <t>6. Accounting tab (Fiscal Year Start, Double Entry System) doesn't even load back its own saved values on reopen -- both keys are missing from the page's form initializer.</t>
  </si>
  <si>
    <t>7. decimal_places is read correctly in ~7 different places (good), but is bypassed by hardcoded .toFixed(4)/.toFixed(2) in Pos.jsx's reverse-calculate-price-from-total inputs (lines 335-345) -- a direct answer to the decimal-consistency question.</t>
  </si>
  <si>
    <t>8. Extra Feed (Lines) print setting is wired to the wrong key -- the slider writes thermal_extra_lines, the renderer reads print_feed_lines. Changing it has no visible effect.</t>
  </si>
  <si>
    <t>9. billing_type, sale_prefix and purchase_prefix are all real, actively-used settings with no UI control anywhere to change them (can only be edited directly in the database).</t>
  </si>
  <si>
    <t>10. ~15 print/thermal fields (print_party_balance, print_received_by, print_delivered_by, print_payment_mode, print_acknowledgement, thermal_custom_chars, thermal_show_mfg_date/size/model/serial, etc.) have no UI control AND are not read by the renderer -- the one backend method that formally defines all of them, SettingsHelper::getPrintSettings(), is itself never called anywhere.</t>
  </si>
  <si>
    <t>Category</t>
  </si>
  <si>
    <t>Setting</t>
  </si>
  <si>
    <t>Data Key</t>
  </si>
  <si>
    <t>Has UI Control?</t>
  </si>
  <si>
    <t>Saves to DB?</t>
  </si>
  <si>
    <t>Loads Back on Reopen?</t>
  </si>
  <si>
    <t>Actually Enforced / Read At</t>
  </si>
  <si>
    <t>Working %</t>
  </si>
  <si>
    <t>Verdict</t>
  </si>
  <si>
    <t>Evidence / Notes</t>
  </si>
  <si>
    <t>Organization</t>
  </si>
  <si>
    <t>Business Name</t>
  </si>
  <si>
    <t>business_name</t>
  </si>
  <si>
    <t>Yes</t>
  </si>
  <si>
    <t>PrintPreview.jsx (all themes); SettingsHelper::getBusinessInfo()</t>
  </si>
  <si>
    <t>Partially Working</t>
  </si>
  <si>
    <t>Prints correctly on every invoice/receipt theme. BUT AdminController's tenant-sync block checks for a key called store_name (not business_name) before updating $tenant-&gt;name -- so the Tenant record's cached name goes stale and never updates from this field.</t>
  </si>
  <si>
    <t>Official Email</t>
  </si>
  <si>
    <t>business_email</t>
  </si>
  <si>
    <t>SettingsHelper::getBusinessInfo() only</t>
  </si>
  <si>
    <t>Cosmetic Only</t>
  </si>
  <si>
    <t>Never rendered in any PrintPreview.jsx invoice/receipt theme (business_phone and business_address are printed, business_email is not). No other consumer found.</t>
  </si>
  <si>
    <t>Phone Line</t>
  </si>
  <si>
    <t>business_phone</t>
  </si>
  <si>
    <t>PrintPreview.jsx (all 6 themes)</t>
  </si>
  <si>
    <t>Fully Working</t>
  </si>
  <si>
    <t>Prints correctly on every invoice/receipt theme, regular and thermal.</t>
  </si>
  <si>
    <t>Head Office Address</t>
  </si>
  <si>
    <t>business_address</t>
  </si>
  <si>
    <t>Tax / NTN</t>
  </si>
  <si>
    <t>tax_number</t>
  </si>
  <si>
    <t>Not rendered in any invoice/receipt theme found. No other consumer found in this pass.</t>
  </si>
  <si>
    <t>Currency</t>
  </si>
  <si>
    <t>currency</t>
  </si>
  <si>
    <t>SettingsHelper::getCurrencySymbol(); mirrored to Tenant.currency_code</t>
  </si>
  <si>
    <t>Backend currency formatter reads it correctly; tenant-sync key matches correctly here (unlike business_name).</t>
  </si>
  <si>
    <t>Currency Symbol</t>
  </si>
  <si>
    <t>currency_symbol</t>
  </si>
  <si>
    <t>SettingsHelper::formatCurrency()/getCurrencySymbol(); also re-read independently in Utils/format.js, useCurrency.js, settings.js, PrintService.jsx</t>
  </si>
  <si>
    <t>Core money formatting works consistently, but the same 'read decimal_places/currency_symbol' logic is reimplemented in ~4 separate frontend files instead of one shared formatter -- a real drift risk, not yet a visible bug.</t>
  </si>
  <si>
    <t>Timezone</t>
  </si>
  <si>
    <t>timezone</t>
  </si>
  <si>
    <t>Mirrored to Tenant.timezone (key match confirmed correct)</t>
  </si>
  <si>
    <t>Sync-to-tenant mechanism is wired correctly. Whether report date-range boundaries actually use the tenant timezone (vs. server default) was not confirmed in this pass.</t>
  </si>
  <si>
    <t>Admin Passcode (enable)</t>
  </si>
  <si>
    <t>enable_passcode</t>
  </si>
  <si>
    <t>StockOperationsController.php, V3/StockAdjustmentController.php, SystemResetController.php</t>
  </si>
  <si>
    <t>Real enforcement gate confirmed before stock adjustments and factory reset.</t>
  </si>
  <si>
    <t>Secure PIN</t>
  </si>
  <si>
    <t>admin_passcode</t>
  </si>
  <si>
    <t>Yes (by design, blanked)</t>
  </si>
  <si>
    <t>SystemResetController.php (auto-upgrades legacy plaintext to hash); stripped from Inertia shared props in HandleInertiaRequests.php</t>
  </si>
  <si>
    <t>Security-conscious: the raw passcode is deliberately never sent back to the browser, so the field always looks blank on reload -- that is correct behavior, not a bug (the placeholder even says 'leave blank to keep current').</t>
  </si>
  <si>
    <t>Decimal Precision</t>
  </si>
  <si>
    <t>decimal_places</t>
  </si>
  <si>
    <t>SettingsHelper::formatNumber/formatCurrency; pdf/receipt.blade.php; pdf/sales-order.blade.php; Utils/format.js; Utils/settings.js; Utils/useCurrency.js; Utils/PrintService.jsx; OneGlanceLayout.jsx; app.jsx</t>
  </si>
  <si>
    <t>Read consistently almost everywhere -- BUT Pos.jsx's 'reverse calculate price/qty from typed total' inputs hardcode .toFixed(4) and .toFixed(2) (lines 335, 338, 342, 345) regardless of this setting. Also independently re-implemented in 7+ separate files rather than one shared helper -- this is exactly the kind of inconsistency risk you asked about.</t>
  </si>
  <si>
    <t>Negative Stock Sales</t>
  </si>
  <si>
    <t>stop_sale_negative_stock</t>
  </si>
  <si>
    <t>SettingsHelper::shouldStopNegativeStock(); covered by 4 dedicated automated test files (Module17, Module09, Module04, FifoServiceTest)</t>
  </si>
  <si>
    <t>The single best-tested setting in the whole system.</t>
  </si>
  <si>
    <t>Multi-Firm Mode</t>
  </si>
  <si>
    <t>multi_firm_enabled</t>
  </si>
  <si>
    <t>None found anywhere in app/ or resources/js/ outside the toggle itself</t>
  </si>
  <si>
    <t>Zero backend or other frontend consumption found. Real multi-store support is handled entirely by the separate Tenant/TenantUser system described in CLAUDE.md -- unrelated to this toggle.</t>
  </si>
  <si>
    <t>Interface Scale</t>
  </si>
  <si>
    <t>ui_scale</t>
  </si>
  <si>
    <t>OneGlanceLayout.jsx (--ui-scale CSS variable, combined with senior_mode)</t>
  </si>
  <si>
    <t>Real, visible effect on UI density across the app.</t>
  </si>
  <si>
    <t>Language</t>
  </si>
  <si>
    <t>language</t>
  </si>
  <si>
    <t>SettingsHelper::getLanguage()</t>
  </si>
  <si>
    <t>Only English is selectable -- Spanish/French are visibly disabled 'Coming Soon' in the dropdown itself, so this is honestly labeled rather than silently broken.</t>
  </si>
  <si>
    <t>Date Format</t>
  </si>
  <si>
    <t>date_format</t>
  </si>
  <si>
    <t>SettingsHelper::formatDate()</t>
  </si>
  <si>
    <t>Formatter is correctly implemented and maps to real PHP date formats; not confirmed as consistently called for every date shown across reports/invoices.</t>
  </si>
  <si>
    <t>Force Dark Mode</t>
  </si>
  <si>
    <t>dark_mode_default</t>
  </si>
  <si>
    <t>None found -- ThemeContext.jsx never reads this key</t>
  </si>
  <si>
    <t>Broken</t>
  </si>
  <si>
    <t>Confirmed: the live theme system (Contexts/ThemeContext.jsx) is driven purely by the user's manual Sun/Moon toggle. This setting saves but has no effect on the actual theme shown at login.</t>
  </si>
  <si>
    <t>Low Stock Alerts</t>
  </si>
  <si>
    <t>low_stock_alerts</t>
  </si>
  <si>
    <t>No SettingsHelper getter; no alert-sending code found</t>
  </si>
  <si>
    <t>Cosmetic Only (likely)</t>
  </si>
  <si>
    <t>No dedicated getter and no notification/email code found that checks this exact key.</t>
  </si>
  <si>
    <t>Email Summaries</t>
  </si>
  <si>
    <t>email_notifications</t>
  </si>
  <si>
    <t>SettingsHelper::isEmailNotificationsEnabled() (getter only)</t>
  </si>
  <si>
    <t>Getter exists but no mail job/controller calling it was found in this pass.</t>
  </si>
  <si>
    <t>Daily Sales Report</t>
  </si>
  <si>
    <t>daily_sales_summary</t>
  </si>
  <si>
    <t>None found</t>
  </si>
  <si>
    <t>No getter, no scheduled job found for this exact key.</t>
  </si>
  <si>
    <t>Operations</t>
  </si>
  <si>
    <t>Auto-Fill Cash Received</t>
  </si>
  <si>
    <t>pos_auto_fill_cash</t>
  </si>
  <si>
    <t>Not independently confirmed in Pos.jsx in this pass</t>
  </si>
  <si>
    <t>Unverified</t>
  </si>
  <si>
    <t>Plausible given the naming and that it is a simple UI behavior, but no direct read-site was located during this audit.</t>
  </si>
  <si>
    <t>Senior Mode (Accessibility)</t>
  </si>
  <si>
    <t>senior_mode</t>
  </si>
  <si>
    <t>OneGlanceLayout.jsx (font scale, combined with ui_scale)</t>
  </si>
  <si>
    <t>Confirmed real effect on font sizing/high-contrast UI.</t>
  </si>
  <si>
    <t>FBR Integration (toggle)</t>
  </si>
  <si>
    <t>fbr_integration</t>
  </si>
  <si>
    <t>Yes (appears in 2 tabs)</t>
  </si>
  <si>
    <t>SaleController.php line 384 (calls FbrService on every sale when enabled)</t>
  </si>
  <si>
    <t>Broken (Simulated)</t>
  </si>
  <si>
    <t>SEE DEDICATED FINDING: SaleController really does call FbrService::reportSale() on every sale -- but inside FbrService.php the real HTTP call to FBR's API is commented out (lines 62-75) and replaced with a hardcoded mock 'Success' response plus a fake invoice number and fake QR-code URL. The sale record is then permanently marked is_fbr_reported=true. Turning this on does not actually report anything to FBR.</t>
  </si>
  <si>
    <t>FBR POS ID</t>
  </si>
  <si>
    <t>fbr_pos_id</t>
  </si>
  <si>
    <t>Yes (2 tabs)</t>
  </si>
  <si>
    <t>FbrService.php constructor</t>
  </si>
  <si>
    <t>Feeds the same simulated call described above.</t>
  </si>
  <si>
    <t>FBR USIN</t>
  </si>
  <si>
    <t>fbr_usin</t>
  </si>
  <si>
    <t>Show Margin Percentage</t>
  </si>
  <si>
    <t>show_margin_percentage</t>
  </si>
  <si>
    <t>Not independently confirmed in this pass</t>
  </si>
  <si>
    <t>Plausible but no direct read-site located during this audit.</t>
  </si>
  <si>
    <t>Round Off Invoice Totals</t>
  </si>
  <si>
    <t>round_off_total</t>
  </si>
  <si>
    <t>SettingsHelper::roundTotal(), called from SaleController.php lines 156 and 1178</t>
  </si>
  <si>
    <t>Confirmed applied to real invoice totals in two live code paths. Minor nuance: the pre-rounding math is always done at a hardcoded 2 decimals before your chosen rounding is applied on top.</t>
  </si>
  <si>
    <t>Allow Negative Stock (dup. of Preferences)</t>
  </si>
  <si>
    <t>Yes (dup. UI)</t>
  </si>
  <si>
    <t>Same key as 'Negative Stock Sales' in Preferences</t>
  </si>
  <si>
    <t>Same underlying value, now editable from two different tabs -- functionally fine, just still duplicated after the recent restructure.</t>
  </si>
  <si>
    <t>POS Return Mode</t>
  </si>
  <si>
    <t>pos_return_mode</t>
  </si>
  <si>
    <t>Not independently confirmed (Returns controller not read in this pass)</t>
  </si>
  <si>
    <t>Real select control with 3 options; consuming controller not verified in this audit.</t>
  </si>
  <si>
    <t>Return Window (days)</t>
  </si>
  <si>
    <t>pos_return_window</t>
  </si>
  <si>
    <t>Not independently confirmed</t>
  </si>
  <si>
    <t>Same as above.</t>
  </si>
  <si>
    <t>Return Window Behavior</t>
  </si>
  <si>
    <t>pos_return_window_behavior</t>
  </si>
  <si>
    <t>Enable Charity Donations</t>
  </si>
  <si>
    <t>charity_enabled</t>
  </si>
  <si>
    <t>CharityController.php exists</t>
  </si>
  <si>
    <t>Partially Working (likely)</t>
  </si>
  <si>
    <t>A dedicated controller exists for this feature; not read line-by-line in this pass.</t>
  </si>
  <si>
    <t>Show Invoice Number</t>
  </si>
  <si>
    <t>invoice_number_enabled</t>
  </si>
  <si>
    <t>Sales/CreateInvoice.jsx line 2195</t>
  </si>
  <si>
    <t>Confirmed used to conditionally show the invoice number field.</t>
  </si>
  <si>
    <t>Default to Cash Sale</t>
  </si>
  <si>
    <t>cash_sale_default</t>
  </si>
  <si>
    <t>Billing Type (Lite/Full)</t>
  </si>
  <si>
    <t>billing_type</t>
  </si>
  <si>
    <t>No control found anywhere</t>
  </si>
  <si>
    <t>Sales/CreateInvoice.jsx, Returns/Create.jsx, RecurringInvoices/Create.jsx + Edit.jsx (multiple lines each)</t>
  </si>
  <si>
    <t>Working, but unreachable</t>
  </si>
  <si>
    <t>Genuinely used in 3+ pages to hide/show the Discount column and adjust layout -- but there is currently no control anywhere in the Settings UI to change it. Can only be changed by editing the database directly.</t>
  </si>
  <si>
    <t>Sale Invoice Prefix</t>
  </si>
  <si>
    <t>sale_prefix</t>
  </si>
  <si>
    <t>SettingsHelper::getSalePrefix(); PrintPreview.jsx (fallback placeholder display)</t>
  </si>
  <si>
    <t>Same issue as Billing Type -- real value, no UI to change it.</t>
  </si>
  <si>
    <t>Purchase Invoice Prefix</t>
  </si>
  <si>
    <t>purchase_prefix</t>
  </si>
  <si>
    <t>SettingsHelper::getPurchasePrefix()</t>
  </si>
  <si>
    <t>Same issue -- real value, no UI to change it.</t>
  </si>
  <si>
    <t>Tax Rates (named list: GST/VAT/etc.)</t>
  </si>
  <si>
    <t>tax_rates</t>
  </si>
  <si>
    <t>Yes (full add/edit/delete UI)</t>
  </si>
  <si>
    <t>None found in Pos.jsx or Sales/CreateInvoice.jsx</t>
  </si>
  <si>
    <t>The add/edit/delete UI fully works and saves as JSON -- but no sale or invoice calculation anywhere in the app was found to read this list. Real tax math uses the completely separate default_tax_rate value below instead.</t>
  </si>
  <si>
    <t>Default Tax Rate</t>
  </si>
  <si>
    <t>default_tax_rate</t>
  </si>
  <si>
    <t>No control anywhere in the Taxes tab or elsewhere</t>
  </si>
  <si>
    <t>Pos.jsx line 867; Sales/CreateInvoice.jsx line 124; SettingsHelper::getDefaultTaxRate()</t>
  </si>
  <si>
    <t>THIS is the value that actually calculates tax on every sale and invoice -- yet there is no field anywhere in the Settings UI to change it. A user would have to edit the database directly. This is the inverse of the Tax Rates row above: the tab with the polished UI doesn't affect anything, and the one that does have no UI at all.</t>
  </si>
  <si>
    <t>Show Logo</t>
  </si>
  <si>
    <t>print_logo (+ _path/_file)</t>
  </si>
  <si>
    <t>PrintPreview.jsx (all themes)</t>
  </si>
  <si>
    <t>Repeat Header on All Pages</t>
  </si>
  <si>
    <t>print_header_all_pages</t>
  </si>
  <si>
    <t>Not found consumed in PrintPreview.jsx</t>
  </si>
  <si>
    <t>Likely Cosmetic</t>
  </si>
  <si>
    <t>Pagination in the on-screen/print preview is driven by the browser/PDF engine, not this flag; no direct consumer located.</t>
  </si>
  <si>
    <t>Paper Size</t>
  </si>
  <si>
    <t>paper_size</t>
  </si>
  <si>
    <t>PrintPreview.jsx dimensions</t>
  </si>
  <si>
    <t>Paper Orientation</t>
  </si>
  <si>
    <t>paper_orientation</t>
  </si>
  <si>
    <t>Custom Width/Height</t>
  </si>
  <si>
    <t>custom_paper_width / custom_paper_height</t>
  </si>
  <si>
    <t>PrintPreview.jsx</t>
  </si>
  <si>
    <t>Margins (Top/Bottom/Left/Right)</t>
  </si>
  <si>
    <t>margin_top/bottom/left/right</t>
  </si>
  <si>
    <t>PrintPreview.jsx padding</t>
  </si>
  <si>
    <t>Signature Text</t>
  </si>
  <si>
    <t>print_signature_text</t>
  </si>
  <si>
    <t>Theme Template</t>
  </si>
  <si>
    <t>print_theme</t>
  </si>
  <si>
    <t>PrintPreview.jsx (theme switch: modern/classic/bold)</t>
  </si>
  <si>
    <t>Header/Body Text Size</t>
  </si>
  <si>
    <t>print_company_text_size / print_invoice_text_size</t>
  </si>
  <si>
    <t>PrintPreview.jsx itemsHeadingSize()/itemsBodySize()</t>
  </si>
  <si>
    <t>Show Original/Duplicate Copy</t>
  </si>
  <si>
    <t>print_original_copy</t>
  </si>
  <si>
    <t>Accent Color</t>
  </si>
  <si>
    <t>print_theme_color</t>
  </si>
  <si>
    <t>Extra Top Space</t>
  </si>
  <si>
    <t>print_extra_space_top</t>
  </si>
  <si>
    <t>No UI control found</t>
  </si>
  <si>
    <t>SettingsHelper::getPrintSettings() only -- and that method itself is never called anywhere</t>
  </si>
  <si>
    <t>Dead</t>
  </si>
  <si>
    <t>Min Item Rows</t>
  </si>
  <si>
    <t>print_min_item_rows</t>
  </si>
  <si>
    <t>SettingsHelper::getPrintSettings() only (unused method)</t>
  </si>
  <si>
    <t>Serial No. column</t>
  </si>
  <si>
    <t>print_show_sno</t>
  </si>
  <si>
    <t>HSN/SAC column</t>
  </si>
  <si>
    <t>print_show_hsn</t>
  </si>
  <si>
    <t>Product Description column</t>
  </si>
  <si>
    <t>print_show_description</t>
  </si>
  <si>
    <t>Units/Qty column</t>
  </si>
  <si>
    <t>print_show_units</t>
  </si>
  <si>
    <t>MRP column</t>
  </si>
  <si>
    <t>print_show_mrp</t>
  </si>
  <si>
    <t>Discount column</t>
  </si>
  <si>
    <t>print_show_discount</t>
  </si>
  <si>
    <t>Free Qty (1+1) column</t>
  </si>
  <si>
    <t>print_show_free_qty</t>
  </si>
  <si>
    <t>Total Qty (footer)</t>
  </si>
  <si>
    <t>print_total_quantity</t>
  </si>
  <si>
    <t>Decimal Amounts</t>
  </si>
  <si>
    <t>print_amount_decimal</t>
  </si>
  <si>
    <t>PrintPreview.jsx's formatAmount() always uses decimal_places directly -- no evidence this specific toggle changes anything.</t>
  </si>
  <si>
    <t>Received Amount (footer)</t>
  </si>
  <si>
    <t>print_received_amount</t>
  </si>
  <si>
    <t>Balance Due (footer)</t>
  </si>
  <si>
    <t>print_balance_amount</t>
  </si>
  <si>
    <t>Party Balance</t>
  </si>
  <si>
    <t>print_party_balance</t>
  </si>
  <si>
    <t>Tax Breakdown</t>
  </si>
  <si>
    <t>print_tax_details</t>
  </si>
  <si>
    <t>Savings ('You Saved')</t>
  </si>
  <si>
    <t>print_you_saved</t>
  </si>
  <si>
    <t>Previous Balance (footer)</t>
  </si>
  <si>
    <t>print_show_previous_balance</t>
  </si>
  <si>
    <t>Amount Grouping</t>
  </si>
  <si>
    <t>print_amount_grouping</t>
  </si>
  <si>
    <t>Amount in Words</t>
  </si>
  <si>
    <t>print_amount_words</t>
  </si>
  <si>
    <t>PrintPreview.jsx numberToWords()</t>
  </si>
  <si>
    <t>Description (footer, distinct key)</t>
  </si>
  <si>
    <t>print_description</t>
  </si>
  <si>
    <t>No UI control found (print_show_description is the one with UI)</t>
  </si>
  <si>
    <t>SettingsHelper::getPrintSettings() only</t>
  </si>
  <si>
    <t>Dead / confusing duplicate name</t>
  </si>
  <si>
    <t>A second, differently-named key that looks like a duplicate of print_show_description but has no UI and no renderer consumer.</t>
  </si>
  <si>
    <t>Terms &amp; Conditions</t>
  </si>
  <si>
    <t>print_terms</t>
  </si>
  <si>
    <t>Received By (footer)</t>
  </si>
  <si>
    <t>print_received_by</t>
  </si>
  <si>
    <t>Delivered By (footer)</t>
  </si>
  <si>
    <t>print_delivered_by</t>
  </si>
  <si>
    <t>Payment Mode (footer)</t>
  </si>
  <si>
    <t>print_payment_mode</t>
  </si>
  <si>
    <t>Acknowledgement (footer)</t>
  </si>
  <si>
    <t>print_acknowledgement</t>
  </si>
  <si>
    <t>Delivery Charges (footer)</t>
  </si>
  <si>
    <t>print_show_delivery_charge</t>
  </si>
  <si>
    <t>No dedicated toggle found (defaults on)</t>
  </si>
  <si>
    <t>Functions correctly with a default-on value; no explicit Settings UI toggle was located for it though.</t>
  </si>
  <si>
    <t>Extra Charges (footer)</t>
  </si>
  <si>
    <t>print_show_extra_charge</t>
  </si>
  <si>
    <t>Set as Default Printer</t>
  </si>
  <si>
    <t>default_print_type</t>
  </si>
  <si>
    <t>PrintSettingsSection.jsx; PrintPreview.jsx / handleTestPrint type selection</t>
  </si>
  <si>
    <t>Roll Width (thermal)</t>
  </si>
  <si>
    <t>thermal_page_size</t>
  </si>
  <si>
    <t>Font Size Scale (thermal)</t>
  </si>
  <si>
    <t>thermal_font_size</t>
  </si>
  <si>
    <t>Extra Feed (Lines)</t>
  </si>
  <si>
    <t>thermal_extra_lines</t>
  </si>
  <si>
    <t>SettingsHelper::getPrintSettings() only -- PrintPreview.jsx actually reads a DIFFERENT key, print_feed_lines, which has no UI at all</t>
  </si>
  <si>
    <t>Broken (key name mismatch)</t>
  </si>
  <si>
    <t>CONFIRMED BUG: the slider you drag writes thermal_extra_lines, but the renderer that adds blank space at the bottom of a thermal receipt checks data.print_feed_lines instead -- a key that no UI control ever sets. Changing this slider has zero visible effect on a printed receipt.</t>
  </si>
  <si>
    <t>Copies to Print</t>
  </si>
  <si>
    <t>thermal_copies</t>
  </si>
  <si>
    <t>Not read anywhere in the print-execution path</t>
  </si>
  <si>
    <t>Likely Dead</t>
  </si>
  <si>
    <t>The only print action found (Test Print) uses the browser's native print dialog, which has no hook for a repeat-copy count.</t>
  </si>
  <si>
    <t>Bold Text Mode (thermal)</t>
  </si>
  <si>
    <t>thermal_use_bold</t>
  </si>
  <si>
    <t>PrintPreview.jsx (fontWeight)</t>
  </si>
  <si>
    <t>Auto Cut Paper</t>
  </si>
  <si>
    <t>thermal_auto_cut</t>
  </si>
  <si>
    <t>This is a hardware-level ESC/POS command; no raw printer-driver code was found anywhere -- only a standard browser print dialog exists in this codebase.</t>
  </si>
  <si>
    <t>Open Cash Drawer</t>
  </si>
  <si>
    <t>thermal_open_drawer</t>
  </si>
  <si>
    <t>Same as Auto Cut Paper -- no hardware command pathway found.</t>
  </si>
  <si>
    <t>Custom Chars (thermal)</t>
  </si>
  <si>
    <t>thermal_custom_chars</t>
  </si>
  <si>
    <t>Label Headers (thermal)</t>
  </si>
  <si>
    <t>thermal_show_headers</t>
  </si>
  <si>
    <t>Show Serial No. (thermal)</t>
  </si>
  <si>
    <t>thermal_show_sno</t>
  </si>
  <si>
    <t>Show Units (thermal)</t>
  </si>
  <si>
    <t>thermal_show_units</t>
  </si>
  <si>
    <t>Item Description (thermal)</t>
  </si>
  <si>
    <t>thermal_show_description</t>
  </si>
  <si>
    <t>MRP Prices (thermal)</t>
  </si>
  <si>
    <t>thermal_show_mrp</t>
  </si>
  <si>
    <t>Show Batch Codes</t>
  </si>
  <si>
    <t>thermal_show_batch</t>
  </si>
  <si>
    <t>Yes (appears in both Regular &amp; Thermal tabs)</t>
  </si>
  <si>
    <t>Show Expiry Dates</t>
  </si>
  <si>
    <t>thermal_show_expiry</t>
  </si>
  <si>
    <t>Yes (both tabs)</t>
  </si>
  <si>
    <t>Show MFG Date</t>
  </si>
  <si>
    <t>thermal_show_mfg_date</t>
  </si>
  <si>
    <t>Show Size</t>
  </si>
  <si>
    <t>thermal_show_size</t>
  </si>
  <si>
    <t>Show Model</t>
  </si>
  <si>
    <t>thermal_show_model</t>
  </si>
  <si>
    <t>Show Serial (product)</t>
  </si>
  <si>
    <t>thermal_show_serial</t>
  </si>
  <si>
    <t>Show Barcode</t>
  </si>
  <si>
    <t>thermal_show_barcode</t>
  </si>
  <si>
    <t>PrintPreview.jsx (barcode bars + text)</t>
  </si>
  <si>
    <t>Custom Footer Message</t>
  </si>
  <si>
    <t>thermal_custom_footer</t>
  </si>
  <si>
    <t>Enable WhatsApp</t>
  </si>
  <si>
    <t>whatsapp_enabled</t>
  </si>
  <si>
    <t>None found anywhere in app/</t>
  </si>
  <si>
    <t>No WhatsApp-sending service exists anywhere in the backend. The 'Connect Account' button next to this card has no onClick handler at all.</t>
  </si>
  <si>
    <t>WhatsApp API URL</t>
  </si>
  <si>
    <t>whatsapp_api_url</t>
  </si>
  <si>
    <t>WhatsApp Access Token</t>
  </si>
  <si>
    <t>whatsapp_access_token</t>
  </si>
  <si>
    <t>WhatsApp Phone Number ID</t>
  </si>
  <si>
    <t>whatsapp_phone_number_id</t>
  </si>
  <si>
    <t>Send SMS to Party</t>
  </si>
  <si>
    <t>sms_to_party</t>
  </si>
  <si>
    <t>No SMS-sending service exists anywhere in the backend.</t>
  </si>
  <si>
    <t>Auto-send for Sales</t>
  </si>
  <si>
    <t>auto_send_sales</t>
  </si>
  <si>
    <t>Enable Party Grouping</t>
  </si>
  <si>
    <t>party_grouping</t>
  </si>
  <si>
    <t>Parties/PartiesList.jsx line 863</t>
  </si>
  <si>
    <t>Confirmed: conditionally shows a Category field on the party form when enabled.</t>
  </si>
  <si>
    <t>Loyalty Points Program</t>
  </si>
  <si>
    <t>loyalty_enabled</t>
  </si>
  <si>
    <t>BillingController.php (SaaS plan-feature gate)</t>
  </si>
  <si>
    <t>Confirmed read for plan-feature gating purposes; deeper point-earning/redemption logic was not independently verified in this pass despite LoyaltyPoint/LoyaltyBalance models existing.</t>
  </si>
  <si>
    <t>Enable Credit Limit</t>
  </si>
  <si>
    <t>enable_credit_limit</t>
  </si>
  <si>
    <t>None found -- Party model has no credit_limit field at all</t>
  </si>
  <si>
    <t>Confirmed: no credit_limit column/logic anywhere on the Party model.</t>
  </si>
  <si>
    <t>Payment Reminder Days</t>
  </si>
  <si>
    <t>payment_reminder_days</t>
  </si>
  <si>
    <t>SettingsHelper::getPaymentReminderDays() (getter only)</t>
  </si>
  <si>
    <t>No scheduled reminder-sending job found consuming this value.</t>
  </si>
  <si>
    <t>Stock Maintenance</t>
  </si>
  <si>
    <t>stock_maintenance</t>
  </si>
  <si>
    <t>SettingsHelper::isStockMaintenanceEnabled() (getter only, sensible true-default)</t>
  </si>
  <si>
    <t>Getter exists; the actual gating point in stock/product logic was not independently confirmed.</t>
  </si>
  <si>
    <t>Barcode Scanning</t>
  </si>
  <si>
    <t>barcode_scan_enabled</t>
  </si>
  <si>
    <t>SettingsHelper::isBarcodeScanningEnabled() + Utils/settings.js helper (getters only)</t>
  </si>
  <si>
    <t>Getters exist on both sides; the actual gating point in the POS UI was not independently confirmed.</t>
  </si>
  <si>
    <t>Batch &amp; Expiry Tracking</t>
  </si>
  <si>
    <t>batch_tracking_enabled</t>
  </si>
  <si>
    <t>Components/ProductModal.jsx line 503</t>
  </si>
  <si>
    <t>Confirmed: conditionally shows batch-tracking fields on the product form.</t>
  </si>
  <si>
    <t>Wholesale Pricing</t>
  </si>
  <si>
    <t>wholesale_price_enabled</t>
  </si>
  <si>
    <t>SettingsHelper::getProductPrice() (real tiered pricing logic); BillingController plan gate</t>
  </si>
  <si>
    <t>One of the best-implemented settings in the app -- real price-tier logic keyed off quantity thresholds.</t>
  </si>
  <si>
    <t>Low Stock Threshold</t>
  </si>
  <si>
    <t>low_stock_threshold</t>
  </si>
  <si>
    <t>SettingsHelper::getLowStockThreshold() (getter); Components/SmartCombobox.jsx reads a PER-PRODUCT field of the same name, not this global one</t>
  </si>
  <si>
    <t>Partially Working / Unclear</t>
  </si>
  <si>
    <t>The one confirmed consumer actually reads a different, per-product value that happens to share the same name -- the global default's real application point was not confirmed.</t>
  </si>
  <si>
    <t>Service Reminders (edit existing)</t>
  </si>
  <si>
    <t>service_reminders</t>
  </si>
  <si>
    <t>Yes (edit/delete only; 'Add New' explicitly disabled)</t>
  </si>
  <si>
    <t>None found -- no reminder-sending mechanism located</t>
  </si>
  <si>
    <t>Editing or deleting existing reminder rows works and saves correctly. Adding new ones is honestly labeled 'Upcoming Feature' in the UI itself. No evidence any reminder is ever actually sent/triggered to anyone.</t>
  </si>
  <si>
    <t>Fiscal Year Start</t>
  </si>
  <si>
    <t>fiscal_year_start</t>
  </si>
  <si>
    <t>No</t>
  </si>
  <si>
    <t>CONFIRMED BUG: this key is missing from Settings.jsx's useForm initializer entirely, so even after you save a value, reopening Settings always shows the hardcoded 2025-01-01 placeholder, never your real saved value. Not read anywhere in backend accounting logic either.</t>
  </si>
  <si>
    <t>Double Entry System</t>
  </si>
  <si>
    <t>enable_double_entry</t>
  </si>
  <si>
    <t>Same load-back bug as Fiscal Year Start -- missing from useForm, always resets visually on reload. Also, per CLAUDE.md, JournalEntry/JournalItem double-entry accounting is already generated automatically on every transaction -- this toggle doesn't gate anything that isn't already unconditionally on.</t>
  </si>
  <si>
    <t>Advanced</t>
  </si>
  <si>
    <t>Two-Factor Authentication</t>
  </si>
  <si>
    <t>two_factor_auth</t>
  </si>
  <si>
    <t>SettingsHelper::isTwoFactorEnabled() (getter only -- zero references anywhere in app/Http auth/login code)</t>
  </si>
  <si>
    <t>Broken / Cosmetic</t>
  </si>
  <si>
    <t>CONFIRMED: no 2FA code prompt exists anywhere in the login flow. Turning this on saves the setting but provides no additional real security -- a false sense of protection.</t>
  </si>
  <si>
    <t>Auto-Logout Timer</t>
  </si>
  <si>
    <t>auto_logout</t>
  </si>
  <si>
    <t>OneGlanceLayout.jsx real idle-detection timer; SettingsHelper::getAutoLogoutMinutes()</t>
  </si>
  <si>
    <t>Confirmed real effect -- inactive sessions are actually logged out after the configured number of minutes.</t>
  </si>
  <si>
    <t>AI Provider (Gemini/OpenAI)</t>
  </si>
  <si>
    <t>ai_provider</t>
  </si>
  <si>
    <t>store.ai.test route (handleVerifyKey in Settings.jsx)</t>
  </si>
  <si>
    <t>Fully Working (assumed)</t>
  </si>
  <si>
    <t>Real 'Check Key' verification round-trip confirmed at the UI/route level.</t>
  </si>
  <si>
    <t>API Key</t>
  </si>
  <si>
    <t>openai_api_key</t>
  </si>
  <si>
    <t>Same as above</t>
  </si>
  <si>
    <t>AI Model</t>
  </si>
  <si>
    <t>ai_model</t>
  </si>
  <si>
    <t>FBR POS Integration (dup. UI)</t>
  </si>
  <si>
    <t>Yes (2nd copy of the same toggle)</t>
  </si>
  <si>
    <t>Same simulated FbrService as the Sales &amp; Invoicing copy</t>
  </si>
  <si>
    <t>Broken (Simulated) + Duplicated UI</t>
  </si>
  <si>
    <t>This is the exact same fbr_integration field as the one in Sales &amp; Invoicing, now editable from two different tabs -- and, per the finding above, it only ever triggers a simulated FBR response either way.</t>
  </si>
  <si>
    <t>WooCommerce Store URL</t>
  </si>
  <si>
    <t>woocommerce_url</t>
  </si>
  <si>
    <t>Yes (plan-gated)</t>
  </si>
  <si>
    <t>None found anywhere in the real WooSync subsystem (WooConnectionController, SyncEngine, webhook/polling jobs)</t>
  </si>
  <si>
    <t>Broken / Disconnected</t>
  </si>
  <si>
    <t>CONFIRMED: the real, sophisticated WooCommerce integration (its own controller, sync engine, webhook handler and scheduled polling job) never reads this key -- it has an entirely separate connection mechanism (a handshake/OAuth-style flow via WooHandshakeController). This Settings card almost certainly does nothing when filled in.</t>
  </si>
  <si>
    <t>WooCommerce Consumer Key</t>
  </si>
  <si>
    <t>woocommerce_consumer_key</t>
  </si>
  <si>
    <t>WooCommerce Consumer Secret</t>
  </si>
  <si>
    <t>woocommerce_consumer_secret</t>
  </si>
  <si>
    <t>WooCommerce Enabled</t>
  </si>
  <si>
    <t>woocommerce_enabled</t>
  </si>
  <si>
    <t>Stripe (Publishable/Secret/Webhook/Enabled)</t>
  </si>
  <si>
    <t>stripe_publishable_key, stripe_secret_key, stripe_webhook_secret, stripe_enabled</t>
  </si>
  <si>
    <t>Card shown but explicitly disabled, no input fields</t>
  </si>
  <si>
    <t>Yes if forced via API</t>
  </si>
  <si>
    <t>None found anywhere</t>
  </si>
  <si>
    <t>Not Built (honestly labeled)</t>
  </si>
  <si>
    <t>Explicitly marked 'Upcoming' with a disabled toggle in the UI itself -- this is not a bug, just clearly-labeled unbuilt functionality.</t>
  </si>
  <si>
    <t>Automatic Daily Backups</t>
  </si>
  <si>
    <t>auto_backup</t>
  </si>
  <si>
    <t>Yes (now in Data &amp; Backup hub)</t>
  </si>
  <si>
    <t>SettingsHelper::isAutoBackupEnabled() (getter only)</t>
  </si>
  <si>
    <t>CONFIRMED: the only scheduled backup job in routes/console.php is backup:google-drive, which is gated entirely by Tenant.google_backup_enabled + a stored OAuth refresh token -- not by this setting. No scheduled job exists anywhere for the 'local storage every night' behavior this toggle's own label describes.</t>
  </si>
  <si>
    <t>Danger Zone</t>
  </si>
  <si>
    <t>Factory Reset (All / Products / Sales / Stock)</t>
  </si>
  <si>
    <t>n/a (action, not a stored setting)</t>
  </si>
  <si>
    <t>n/a</t>
  </si>
  <si>
    <t>SystemResetController.php, password/passcode confirmation flow</t>
  </si>
  <si>
    <t>Confirmed real and dangerous-in-a-good-way: requires password/passcode confirmation, shows real progress, actually deletes data.</t>
  </si>
  <si>
    <t>(Backend-only)</t>
  </si>
  <si>
    <t>Tenant name-sync target</t>
  </si>
  <si>
    <t>store_name</t>
  </si>
  <si>
    <t>No -- the form sends business_name instead</t>
  </si>
  <si>
    <t>N/A</t>
  </si>
  <si>
    <t>AdminController.php tenant-sync block</t>
  </si>
  <si>
    <t>Broken (key mismatch)</t>
  </si>
  <si>
    <t>The Tenant-mirroring code looks for a settings key called store_name to update $tenant-&gt;name -- but the live Settings form always sends business_name instead, so this sync path can never fire from the current UI.</t>
  </si>
  <si>
    <t>Product Cost Update Policy</t>
  </si>
  <si>
    <t>product_cost_update_policy</t>
  </si>
  <si>
    <t>No UI anywhere</t>
  </si>
  <si>
    <t>Unknown</t>
  </si>
  <si>
    <t>SettingsHelper::getProductCostUpdatePolicy() (getter only)</t>
  </si>
  <si>
    <t>No UI (backend-only)</t>
  </si>
  <si>
    <t>A getter exists for this key with a sensible default, but no Settings page anywhere exposes a control for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</si>
</sst>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8"/>
      <color rgb="FF1F2937"/>
      <name val="Arial"/>
      <charset val="1"/>
    </font>
    <font>
      <i/>
      <sz val="11"/>
      <color rgb="FF6B7280"/>
      <name val="Arial"/>
      <charset val="1"/>
    </font>
    <font>
      <b/>
      <sz val="13"/>
      <color rgb="FFFFFFFF"/>
      <name val="Arial"/>
      <charset val="1"/>
    </font>
    <font>
      <b/>
      <sz val="11"/>
      <color rgb="FF374151"/>
      <name val="Arial"/>
      <charset val="1"/>
    </font>
    <font>
      <b/>
      <sz val="11"/>
      <color rgb="FF4338CA"/>
      <name val="Arial"/>
      <charset val="1"/>
    </font>
    <font>
      <b/>
      <sz val="11"/>
      <color rgb="FFFFFFFF"/>
      <name val="Arial"/>
      <charset val="1"/>
    </font>
    <font>
      <sz val="10.5"/>
      <color rgb="FF111827"/>
      <name val="Arial"/>
      <charset val="1"/>
    </font>
    <font>
      <b/>
      <sz val="10.5"/>
      <color rgb="FFFFFFFF"/>
      <name val="Arial"/>
      <charset val="1"/>
    </font>
    <font>
      <sz val="10"/>
      <color rgb="FF111827"/>
      <name val="Arial"/>
      <charset val="1"/>
    </font>
  </fonts>
  <fills count="6">
    <fill>
      <patternFill patternType="none"/>
    </fill>
    <fill>
      <patternFill patternType="gray125"/>
    </fill>
    <fill>
      <patternFill patternType="solid">
        <fgColor rgb="FF4338CA"/>
        <bgColor rgb="FF374151"/>
      </patternFill>
    </fill>
    <fill>
      <patternFill patternType="solid">
        <fgColor rgb="FF6366F1"/>
        <bgColor rgb="FF6B7280"/>
      </patternFill>
    </fill>
    <fill>
      <patternFill patternType="solid">
        <fgColor rgb="FF1E1B4B"/>
        <bgColor rgb="FF1F2937"/>
      </patternFill>
    </fill>
    <fill>
      <patternFill patternType="solid">
        <fgColor rgb="FFF9FAFB"/>
        <bgColor rgb="FFFFFFFF"/>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16">
    <xf numFmtId="0" fontId="0" fillId="0" borderId="0" xfId="0"/>
    <xf numFmtId="0" fontId="7" fillId="0" borderId="0" xfId="0" applyFont="1" applyAlignment="1">
      <alignment vertical="top" wrapText="1"/>
    </xf>
    <xf numFmtId="0" fontId="3" fillId="2" borderId="0" xfId="0" applyFont="1" applyFill="1"/>
    <xf numFmtId="0" fontId="2" fillId="0" borderId="0" xfId="0" applyFont="1"/>
    <xf numFmtId="0" fontId="1" fillId="0" borderId="0" xfId="0" applyFont="1"/>
    <xf numFmtId="0" fontId="4" fillId="0" borderId="0" xfId="0" applyFont="1"/>
    <xf numFmtId="0" fontId="5" fillId="0" borderId="0" xfId="0" applyFont="1"/>
    <xf numFmtId="0" fontId="6" fillId="3" borderId="0" xfId="0" applyFont="1" applyFill="1"/>
    <xf numFmtId="0" fontId="7" fillId="0" borderId="0" xfId="0" applyFont="1"/>
    <xf numFmtId="0" fontId="8" fillId="4" borderId="0" xfId="0" applyFont="1" applyFill="1" applyAlignment="1">
      <alignment horizontal="center" vertical="center" wrapText="1"/>
    </xf>
    <xf numFmtId="0" fontId="9" fillId="5" borderId="1" xfId="0" applyFont="1" applyFill="1" applyBorder="1" applyAlignment="1">
      <alignment vertical="top"/>
    </xf>
    <xf numFmtId="0" fontId="9" fillId="5" borderId="1" xfId="0" applyFont="1" applyFill="1" applyBorder="1" applyAlignment="1">
      <alignment vertical="top" wrapText="1"/>
    </xf>
    <xf numFmtId="0" fontId="9" fillId="5" borderId="1" xfId="0" applyFont="1" applyFill="1" applyBorder="1" applyAlignment="1">
      <alignment horizontal="center" vertical="top"/>
    </xf>
    <xf numFmtId="0" fontId="9" fillId="0" borderId="1" xfId="0" applyFont="1" applyBorder="1" applyAlignment="1">
      <alignment vertical="top"/>
    </xf>
    <xf numFmtId="0" fontId="9" fillId="0" borderId="1" xfId="0" applyFont="1" applyBorder="1" applyAlignment="1">
      <alignment vertical="top" wrapText="1"/>
    </xf>
    <xf numFmtId="0" fontId="9" fillId="0" borderId="1" xfId="0" applyFont="1" applyBorder="1" applyAlignment="1">
      <alignment horizontal="center" vertical="top"/>
    </xf>
  </cellXfs>
  <cellStyles count="1">
    <cellStyle name="Normal" xfId="0" builtinId="0"/>
  </cellStyles>
  <dxfs count="3">
    <dxf>
      <font>
        <b/>
        <color rgb="FF991B1B"/>
      </font>
      <fill>
        <patternFill>
          <bgColor rgb="FFFEE2E2"/>
        </patternFill>
      </fill>
    </dxf>
    <dxf>
      <font>
        <b/>
        <color rgb="FF92400E"/>
      </font>
      <fill>
        <patternFill>
          <bgColor rgb="FFFEF3C7"/>
        </patternFill>
      </fill>
    </dxf>
    <dxf>
      <font>
        <b/>
        <color rgb="FF065F46"/>
      </font>
      <fill>
        <patternFill>
          <bgColor rgb="FFD1FAE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800080"/>
      <rgbColor rgb="FF065F46"/>
      <rgbColor rgb="FFC0C0C0"/>
      <rgbColor rgb="FF808080"/>
      <rgbColor rgb="FF9999FF"/>
      <rgbColor rgb="FF993366"/>
      <rgbColor rgb="FFFEF3C7"/>
      <rgbColor rgb="FFE5E7E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9FAFB"/>
      <rgbColor rgb="FFD1FAE5"/>
      <rgbColor rgb="FFFFFF99"/>
      <rgbColor rgb="FF99CCFF"/>
      <rgbColor rgb="FFFF99CC"/>
      <rgbColor rgb="FFCC99FF"/>
      <rgbColor rgb="FFFEE2E2"/>
      <rgbColor rgb="FF6366F1"/>
      <rgbColor rgb="FF33CCCC"/>
      <rgbColor rgb="FF99CC00"/>
      <rgbColor rgb="FFFFCC00"/>
      <rgbColor rgb="FFFF9900"/>
      <rgbColor rgb="FFFF6600"/>
      <rgbColor rgb="FF6B7280"/>
      <rgbColor rgb="FF969696"/>
      <rgbColor rgb="FF1E1B4B"/>
      <rgbColor rgb="FF339966"/>
      <rgbColor rgb="FF111827"/>
      <rgbColor rgb="FF374151"/>
      <rgbColor rgb="FF92400E"/>
      <rgbColor rgb="FF993366"/>
      <rgbColor rgb="FF4338CA"/>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39"/>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42" customWidth="1"/>
    <col min="3" max="8" width="16" customWidth="1"/>
  </cols>
  <sheetData>
    <row r="2" spans="2:8" ht="23.25" x14ac:dyDescent="0.35">
      <c r="B2" s="4" t="s">
        <v>0</v>
      </c>
      <c r="C2" s="4"/>
      <c r="D2" s="4"/>
      <c r="E2" s="4"/>
      <c r="F2" s="4"/>
      <c r="G2" s="4"/>
      <c r="H2" s="4"/>
    </row>
    <row r="3" spans="2:8" x14ac:dyDescent="0.25">
      <c r="B3" s="3" t="s">
        <v>1</v>
      </c>
      <c r="C3" s="3"/>
      <c r="D3" s="3"/>
      <c r="E3" s="3"/>
      <c r="F3" s="3"/>
      <c r="G3" s="3"/>
      <c r="H3" s="3"/>
    </row>
    <row r="5" spans="2:8" ht="16.5" x14ac:dyDescent="0.25">
      <c r="B5" s="2" t="s">
        <v>2</v>
      </c>
      <c r="C5" s="2"/>
      <c r="D5" s="2"/>
      <c r="E5" s="2"/>
      <c r="F5" s="2"/>
      <c r="G5" s="2"/>
      <c r="H5" s="2"/>
    </row>
    <row r="6" spans="2:8" x14ac:dyDescent="0.25">
      <c r="B6" s="5" t="s">
        <v>3</v>
      </c>
      <c r="E6" s="6">
        <f>COUNTA('Full Audit'!E2:E1000)</f>
        <v>132</v>
      </c>
    </row>
    <row r="7" spans="2:8" x14ac:dyDescent="0.25">
      <c r="B7" s="5" t="s">
        <v>4</v>
      </c>
      <c r="E7" s="6" t="str">
        <f>ROUND(AVERAGE('Full Audit'!I2:I1000),0)&amp;"%"</f>
        <v>53%</v>
      </c>
    </row>
    <row r="8" spans="2:8" x14ac:dyDescent="0.25">
      <c r="B8" s="5" t="s">
        <v>5</v>
      </c>
      <c r="E8" s="6">
        <f>COUNTIF('Full Audit'!I2:I1000,"&gt;=80")</f>
        <v>61</v>
      </c>
    </row>
    <row r="9" spans="2:8" x14ac:dyDescent="0.25">
      <c r="B9" s="5" t="s">
        <v>6</v>
      </c>
      <c r="E9" s="6">
        <f>COUNTIFS('Full Audit'!I2:I1000,"&gt;=40",'Full Audit'!I2:I1000,"&lt;80")</f>
        <v>19</v>
      </c>
    </row>
    <row r="10" spans="2:8" x14ac:dyDescent="0.25">
      <c r="B10" s="5" t="s">
        <v>7</v>
      </c>
      <c r="E10" s="6">
        <f>COUNTIF('Full Audit'!I2:I1000,"&lt;40")</f>
        <v>51</v>
      </c>
    </row>
    <row r="12" spans="2:8" ht="16.5" x14ac:dyDescent="0.25">
      <c r="B12" s="2" t="s">
        <v>8</v>
      </c>
      <c r="C12" s="2"/>
      <c r="D12" s="2"/>
      <c r="E12" s="2"/>
      <c r="F12" s="2"/>
      <c r="G12" s="2"/>
      <c r="H12" s="2"/>
    </row>
    <row r="13" spans="2:8" x14ac:dyDescent="0.25">
      <c r="B13" s="7" t="s">
        <v>9</v>
      </c>
      <c r="C13" s="7" t="s">
        <v>10</v>
      </c>
      <c r="D13" s="7" t="s">
        <v>11</v>
      </c>
    </row>
    <row r="14" spans="2:8" x14ac:dyDescent="0.25">
      <c r="B14" s="8" t="s">
        <v>12</v>
      </c>
      <c r="C14" s="8" t="str">
        <f>ROUND(AVERAGEIF('Full Audit'!B2:B1000,B14,'Full Audit'!I2:I1000),0)&amp;"%"</f>
        <v>71%</v>
      </c>
      <c r="D14" s="8">
        <f>COUNTIF('Full Audit'!B2:B1000,B14)</f>
        <v>8</v>
      </c>
    </row>
    <row r="15" spans="2:8" x14ac:dyDescent="0.25">
      <c r="B15" s="8" t="s">
        <v>13</v>
      </c>
      <c r="C15" s="8" t="str">
        <f>ROUND(AVERAGEIF('Full Audit'!B2:B1000,B15,'Full Audit'!I2:I1000),0)&amp;"%"</f>
        <v>55%</v>
      </c>
      <c r="D15" s="8">
        <f>COUNTIF('Full Audit'!B2:B1000,B15)</f>
        <v>12</v>
      </c>
    </row>
    <row r="16" spans="2:8" x14ac:dyDescent="0.25">
      <c r="B16" s="8" t="s">
        <v>14</v>
      </c>
      <c r="C16" s="8" t="str">
        <f>ROUND(AVERAGEIF('Full Audit'!B2:B1000,B16,'Full Audit'!I2:I1000),0)&amp;"%"</f>
        <v>53%</v>
      </c>
      <c r="D16" s="8">
        <f>COUNTIF('Full Audit'!B2:B1000,B16)</f>
        <v>17</v>
      </c>
    </row>
    <row r="17" spans="2:8" x14ac:dyDescent="0.25">
      <c r="B17" s="8" t="s">
        <v>15</v>
      </c>
      <c r="C17" s="8" t="str">
        <f>ROUND(AVERAGEIF('Full Audit'!B2:B1000,B17,'Full Audit'!I2:I1000),0)&amp;"%"</f>
        <v>43%</v>
      </c>
      <c r="D17" s="8">
        <f>COUNTIF('Full Audit'!B2:B1000,B17)</f>
        <v>2</v>
      </c>
    </row>
    <row r="18" spans="2:8" x14ac:dyDescent="0.25">
      <c r="B18" s="8" t="s">
        <v>16</v>
      </c>
      <c r="C18" s="8" t="str">
        <f>ROUND(AVERAGEIF('Full Audit'!B2:B1000,B18,'Full Audit'!I2:I1000),0)&amp;"%"</f>
        <v>61%</v>
      </c>
      <c r="D18" s="8">
        <f>COUNTIF('Full Audit'!B2:B1000,B18)</f>
        <v>60</v>
      </c>
    </row>
    <row r="19" spans="2:8" x14ac:dyDescent="0.25">
      <c r="B19" s="8" t="s">
        <v>17</v>
      </c>
      <c r="C19" s="8" t="str">
        <f>ROUND(AVERAGEIF('Full Audit'!B2:B1000,B19,'Full Audit'!I2:I1000),0)&amp;"%"</f>
        <v>5%</v>
      </c>
      <c r="D19" s="8">
        <f>COUNTIF('Full Audit'!B2:B1000,B19)</f>
        <v>6</v>
      </c>
    </row>
    <row r="20" spans="2:8" x14ac:dyDescent="0.25">
      <c r="B20" s="8" t="s">
        <v>18</v>
      </c>
      <c r="C20" s="8" t="str">
        <f>ROUND(AVERAGEIF('Full Audit'!B2:B1000,B20,'Full Audit'!I2:I1000),0)&amp;"%"</f>
        <v>43%</v>
      </c>
      <c r="D20" s="8">
        <f>COUNTIF('Full Audit'!B2:B1000,B20)</f>
        <v>4</v>
      </c>
    </row>
    <row r="21" spans="2:8" x14ac:dyDescent="0.25">
      <c r="B21" s="8" t="s">
        <v>19</v>
      </c>
      <c r="C21" s="8" t="str">
        <f>ROUND(AVERAGEIF('Full Audit'!B2:B1000,B21,'Full Audit'!I2:I1000),0)&amp;"%"</f>
        <v>60%</v>
      </c>
      <c r="D21" s="8">
        <f>COUNTIF('Full Audit'!B2:B1000,B21)</f>
        <v>5</v>
      </c>
    </row>
    <row r="22" spans="2:8" x14ac:dyDescent="0.25">
      <c r="B22" s="8" t="s">
        <v>20</v>
      </c>
      <c r="C22" s="8" t="str">
        <f>ROUND(AVERAGEIF('Full Audit'!B2:B1000,B22,'Full Audit'!I2:I1000),0)&amp;"%"</f>
        <v>40%</v>
      </c>
      <c r="D22" s="8">
        <f>COUNTIF('Full Audit'!B2:B1000,B22)</f>
        <v>1</v>
      </c>
    </row>
    <row r="23" spans="2:8" x14ac:dyDescent="0.25">
      <c r="B23" s="8" t="s">
        <v>21</v>
      </c>
      <c r="C23" s="8" t="str">
        <f>ROUND(AVERAGEIF('Full Audit'!B2:B1000,B23,'Full Audit'!I2:I1000),0)&amp;"%"</f>
        <v>5%</v>
      </c>
      <c r="D23" s="8">
        <f>COUNTIF('Full Audit'!B2:B1000,B23)</f>
        <v>2</v>
      </c>
    </row>
    <row r="24" spans="2:8" x14ac:dyDescent="0.25">
      <c r="B24" s="8" t="s">
        <v>22</v>
      </c>
      <c r="C24" s="8" t="str">
        <f>ROUND(AVERAGEIF('Full Audit'!B2:B1000,B24,'Full Audit'!I2:I1000),0)&amp;"%"</f>
        <v>50%</v>
      </c>
      <c r="D24" s="8">
        <f>COUNTIF('Full Audit'!B2:B1000,B24)</f>
        <v>2</v>
      </c>
    </row>
    <row r="25" spans="2:8" x14ac:dyDescent="0.25">
      <c r="B25" s="8" t="s">
        <v>23</v>
      </c>
      <c r="C25" s="8" t="str">
        <f>ROUND(AVERAGEIF('Full Audit'!B2:B1000,B25,'Full Audit'!I2:I1000),0)&amp;"%"</f>
        <v>31%</v>
      </c>
      <c r="D25" s="8">
        <f>COUNTIF('Full Audit'!B2:B1000,B25)</f>
        <v>9</v>
      </c>
    </row>
    <row r="26" spans="2:8" x14ac:dyDescent="0.25">
      <c r="B26" s="8" t="s">
        <v>24</v>
      </c>
      <c r="C26" s="8" t="str">
        <f>ROUND(AVERAGEIF('Full Audit'!B2:B1000,B26,'Full Audit'!I2:I1000),0)&amp;"%"</f>
        <v>10%</v>
      </c>
      <c r="D26" s="8">
        <f>COUNTIF('Full Audit'!B2:B1000,B26)</f>
        <v>1</v>
      </c>
    </row>
    <row r="27" spans="2:8" x14ac:dyDescent="0.25">
      <c r="B27" s="8" t="s">
        <v>25</v>
      </c>
      <c r="C27" s="8" t="str">
        <f>ROUND(AVERAGEIF('Full Audit'!B2:B1000,B27,'Full Audit'!I2:I1000),0)&amp;"%"</f>
        <v>95%</v>
      </c>
      <c r="D27" s="8">
        <f>COUNTIF('Full Audit'!B2:B1000,B27)</f>
        <v>1</v>
      </c>
    </row>
    <row r="29" spans="2:8" ht="16.5" x14ac:dyDescent="0.25">
      <c r="B29" s="2" t="s">
        <v>26</v>
      </c>
      <c r="C29" s="2"/>
      <c r="D29" s="2"/>
      <c r="E29" s="2"/>
      <c r="F29" s="2"/>
      <c r="G29" s="2"/>
      <c r="H29" s="2"/>
    </row>
    <row r="30" spans="2:8" ht="39.75" customHeight="1" x14ac:dyDescent="0.25">
      <c r="B30" s="1" t="s">
        <v>27</v>
      </c>
      <c r="C30" s="1"/>
      <c r="D30" s="1"/>
      <c r="E30" s="1"/>
      <c r="F30" s="1"/>
      <c r="G30" s="1"/>
      <c r="H30" s="1"/>
    </row>
    <row r="31" spans="2:8" ht="39.75" customHeight="1" x14ac:dyDescent="0.25">
      <c r="B31" s="1" t="s">
        <v>28</v>
      </c>
      <c r="C31" s="1"/>
      <c r="D31" s="1"/>
      <c r="E31" s="1"/>
      <c r="F31" s="1"/>
      <c r="G31" s="1"/>
      <c r="H31" s="1"/>
    </row>
    <row r="32" spans="2:8" ht="39.75" customHeight="1" x14ac:dyDescent="0.25">
      <c r="B32" s="1" t="s">
        <v>29</v>
      </c>
      <c r="C32" s="1"/>
      <c r="D32" s="1"/>
      <c r="E32" s="1"/>
      <c r="F32" s="1"/>
      <c r="G32" s="1"/>
      <c r="H32" s="1"/>
    </row>
    <row r="33" spans="2:8" ht="39.75" customHeight="1" x14ac:dyDescent="0.25">
      <c r="B33" s="1" t="s">
        <v>30</v>
      </c>
      <c r="C33" s="1"/>
      <c r="D33" s="1"/>
      <c r="E33" s="1"/>
      <c r="F33" s="1"/>
      <c r="G33" s="1"/>
      <c r="H33" s="1"/>
    </row>
    <row r="34" spans="2:8" ht="39.75" customHeight="1" x14ac:dyDescent="0.25">
      <c r="B34" s="1" t="s">
        <v>31</v>
      </c>
      <c r="C34" s="1"/>
      <c r="D34" s="1"/>
      <c r="E34" s="1"/>
      <c r="F34" s="1"/>
      <c r="G34" s="1"/>
      <c r="H34" s="1"/>
    </row>
    <row r="35" spans="2:8" ht="39.75" customHeight="1" x14ac:dyDescent="0.25">
      <c r="B35" s="1" t="s">
        <v>32</v>
      </c>
      <c r="C35" s="1"/>
      <c r="D35" s="1"/>
      <c r="E35" s="1"/>
      <c r="F35" s="1"/>
      <c r="G35" s="1"/>
      <c r="H35" s="1"/>
    </row>
    <row r="36" spans="2:8" ht="39.75" customHeight="1" x14ac:dyDescent="0.25">
      <c r="B36" s="1" t="s">
        <v>33</v>
      </c>
      <c r="C36" s="1"/>
      <c r="D36" s="1"/>
      <c r="E36" s="1"/>
      <c r="F36" s="1"/>
      <c r="G36" s="1"/>
      <c r="H36" s="1"/>
    </row>
    <row r="37" spans="2:8" ht="39.75" customHeight="1" x14ac:dyDescent="0.25">
      <c r="B37" s="1" t="s">
        <v>34</v>
      </c>
      <c r="C37" s="1"/>
      <c r="D37" s="1"/>
      <c r="E37" s="1"/>
      <c r="F37" s="1"/>
      <c r="G37" s="1"/>
      <c r="H37" s="1"/>
    </row>
    <row r="38" spans="2:8" ht="39.75" customHeight="1" x14ac:dyDescent="0.25">
      <c r="B38" s="1" t="s">
        <v>35</v>
      </c>
      <c r="C38" s="1"/>
      <c r="D38" s="1"/>
      <c r="E38" s="1"/>
      <c r="F38" s="1"/>
      <c r="G38" s="1"/>
      <c r="H38" s="1"/>
    </row>
    <row r="39" spans="2:8" ht="39.75" customHeight="1" x14ac:dyDescent="0.25">
      <c r="B39" s="1" t="s">
        <v>36</v>
      </c>
      <c r="C39" s="1"/>
      <c r="D39" s="1"/>
      <c r="E39" s="1"/>
      <c r="F39" s="1"/>
      <c r="G39" s="1"/>
      <c r="H39" s="1"/>
    </row>
  </sheetData>
  <mergeCells count="15">
    <mergeCell ref="B35:H35"/>
    <mergeCell ref="B36:H36"/>
    <mergeCell ref="B37:H37"/>
    <mergeCell ref="B38:H38"/>
    <mergeCell ref="B39:H39"/>
    <mergeCell ref="B30:H30"/>
    <mergeCell ref="B31:H31"/>
    <mergeCell ref="B32:H32"/>
    <mergeCell ref="B33:H33"/>
    <mergeCell ref="B34:H34"/>
    <mergeCell ref="B2:H2"/>
    <mergeCell ref="B3:H3"/>
    <mergeCell ref="B5:H5"/>
    <mergeCell ref="B12:H12"/>
    <mergeCell ref="B29:H2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3"/>
  <sheetViews>
    <sheetView tabSelected="1" zoomScaleNormal="100" workbookViewId="0">
      <pane ySplit="1" topLeftCell="A2" activePane="bottomLeft" state="frozen"/>
      <selection pane="bottomLeft" activeCell="E2" sqref="E2"/>
    </sheetView>
  </sheetViews>
  <sheetFormatPr defaultColWidth="8.7109375" defaultRowHeight="15" x14ac:dyDescent="0.25"/>
  <cols>
    <col min="1" max="1" width="14.5703125" bestFit="1" customWidth="1"/>
    <col min="2" max="2" width="18.5703125" bestFit="1" customWidth="1"/>
    <col min="3" max="3" width="26.42578125" customWidth="1"/>
    <col min="4" max="4" width="22.85546875" customWidth="1"/>
    <col min="5" max="5" width="41.42578125" customWidth="1"/>
    <col min="6" max="6" width="17.85546875" bestFit="1" customWidth="1"/>
    <col min="7" max="7" width="22" bestFit="1" customWidth="1"/>
    <col min="8" max="8" width="42.140625" bestFit="1" customWidth="1"/>
    <col min="9" max="9" width="12.5703125" bestFit="1" customWidth="1"/>
    <col min="10" max="10" width="30.85546875" bestFit="1" customWidth="1"/>
    <col min="11" max="11" width="60" customWidth="1"/>
  </cols>
  <sheetData>
    <row r="1" spans="1:11" ht="30" customHeight="1" x14ac:dyDescent="0.25">
      <c r="A1" s="9" t="s">
        <v>37</v>
      </c>
      <c r="B1" s="9" t="s">
        <v>9</v>
      </c>
      <c r="C1" s="9" t="s">
        <v>38</v>
      </c>
      <c r="D1" s="9" t="s">
        <v>39</v>
      </c>
      <c r="E1" s="9" t="s">
        <v>40</v>
      </c>
      <c r="F1" s="9" t="s">
        <v>41</v>
      </c>
      <c r="G1" s="9" t="s">
        <v>42</v>
      </c>
      <c r="H1" s="9" t="s">
        <v>43</v>
      </c>
      <c r="I1" s="9" t="s">
        <v>44</v>
      </c>
      <c r="J1" s="9" t="s">
        <v>45</v>
      </c>
      <c r="K1" s="9" t="s">
        <v>46</v>
      </c>
    </row>
    <row r="2" spans="1:11" ht="89.25" x14ac:dyDescent="0.25">
      <c r="A2" s="10" t="s">
        <v>132</v>
      </c>
      <c r="B2" s="10" t="s">
        <v>14</v>
      </c>
      <c r="C2" s="10" t="s">
        <v>142</v>
      </c>
      <c r="D2" s="10" t="s">
        <v>143</v>
      </c>
      <c r="E2" s="10" t="s">
        <v>144</v>
      </c>
      <c r="F2" s="10" t="s">
        <v>50</v>
      </c>
      <c r="G2" s="10" t="s">
        <v>50</v>
      </c>
      <c r="H2" s="11" t="s">
        <v>145</v>
      </c>
      <c r="I2" s="12">
        <v>0</v>
      </c>
      <c r="J2" s="10" t="s">
        <v>146</v>
      </c>
      <c r="K2" s="11" t="s">
        <v>147</v>
      </c>
    </row>
    <row r="3" spans="1:11" x14ac:dyDescent="0.25">
      <c r="A3" s="13" t="s">
        <v>132</v>
      </c>
      <c r="B3" s="13" t="s">
        <v>14</v>
      </c>
      <c r="C3" s="13" t="s">
        <v>148</v>
      </c>
      <c r="D3" s="13" t="s">
        <v>149</v>
      </c>
      <c r="E3" s="13" t="s">
        <v>150</v>
      </c>
      <c r="F3" s="13" t="s">
        <v>50</v>
      </c>
      <c r="G3" s="13" t="s">
        <v>50</v>
      </c>
      <c r="H3" s="14" t="s">
        <v>151</v>
      </c>
      <c r="I3" s="15">
        <v>0</v>
      </c>
      <c r="J3" s="13" t="s">
        <v>146</v>
      </c>
      <c r="K3" s="14" t="s">
        <v>152</v>
      </c>
    </row>
    <row r="4" spans="1:11" x14ac:dyDescent="0.25">
      <c r="A4" s="10" t="s">
        <v>132</v>
      </c>
      <c r="B4" s="10" t="s">
        <v>14</v>
      </c>
      <c r="C4" s="10" t="s">
        <v>153</v>
      </c>
      <c r="D4" s="10" t="s">
        <v>154</v>
      </c>
      <c r="E4" s="10" t="s">
        <v>150</v>
      </c>
      <c r="F4" s="10" t="s">
        <v>50</v>
      </c>
      <c r="G4" s="10" t="s">
        <v>50</v>
      </c>
      <c r="H4" s="11" t="s">
        <v>151</v>
      </c>
      <c r="I4" s="12">
        <v>0</v>
      </c>
      <c r="J4" s="10" t="s">
        <v>146</v>
      </c>
      <c r="K4" s="11" t="s">
        <v>152</v>
      </c>
    </row>
    <row r="5" spans="1:11" ht="38.25" x14ac:dyDescent="0.25">
      <c r="A5" s="10" t="s">
        <v>430</v>
      </c>
      <c r="B5" s="10" t="s">
        <v>23</v>
      </c>
      <c r="C5" s="10" t="s">
        <v>450</v>
      </c>
      <c r="D5" s="10" t="s">
        <v>143</v>
      </c>
      <c r="E5" s="10" t="s">
        <v>451</v>
      </c>
      <c r="F5" s="10" t="s">
        <v>50</v>
      </c>
      <c r="G5" s="10" t="s">
        <v>50</v>
      </c>
      <c r="H5" s="11" t="s">
        <v>452</v>
      </c>
      <c r="I5" s="12">
        <v>0</v>
      </c>
      <c r="J5" s="10" t="s">
        <v>453</v>
      </c>
      <c r="K5" s="11" t="s">
        <v>454</v>
      </c>
    </row>
    <row r="6" spans="1:11" ht="25.5" x14ac:dyDescent="0.25">
      <c r="A6" s="13" t="s">
        <v>430</v>
      </c>
      <c r="B6" s="13" t="s">
        <v>23</v>
      </c>
      <c r="C6" s="13" t="s">
        <v>467</v>
      </c>
      <c r="D6" s="13" t="s">
        <v>468</v>
      </c>
      <c r="E6" s="13" t="s">
        <v>469</v>
      </c>
      <c r="F6" s="13" t="s">
        <v>470</v>
      </c>
      <c r="G6" s="13" t="s">
        <v>50</v>
      </c>
      <c r="H6" s="14" t="s">
        <v>471</v>
      </c>
      <c r="I6" s="15">
        <v>0</v>
      </c>
      <c r="J6" s="13" t="s">
        <v>472</v>
      </c>
      <c r="K6" s="14" t="s">
        <v>473</v>
      </c>
    </row>
    <row r="7" spans="1:11" ht="51" x14ac:dyDescent="0.25">
      <c r="A7" s="10" t="s">
        <v>485</v>
      </c>
      <c r="B7" s="10" t="s">
        <v>482</v>
      </c>
      <c r="C7" s="10" t="s">
        <v>486</v>
      </c>
      <c r="D7" s="10" t="s">
        <v>487</v>
      </c>
      <c r="E7" s="10" t="s">
        <v>488</v>
      </c>
      <c r="F7" s="10" t="s">
        <v>489</v>
      </c>
      <c r="G7" s="10" t="s">
        <v>489</v>
      </c>
      <c r="H7" s="11" t="s">
        <v>490</v>
      </c>
      <c r="I7" s="12">
        <v>0</v>
      </c>
      <c r="J7" s="10" t="s">
        <v>491</v>
      </c>
      <c r="K7" s="11" t="s">
        <v>492</v>
      </c>
    </row>
    <row r="8" spans="1:11" ht="25.5" x14ac:dyDescent="0.25">
      <c r="A8" s="13" t="s">
        <v>132</v>
      </c>
      <c r="B8" s="13" t="s">
        <v>16</v>
      </c>
      <c r="C8" s="13" t="s">
        <v>274</v>
      </c>
      <c r="D8" s="13" t="s">
        <v>275</v>
      </c>
      <c r="E8" s="13" t="s">
        <v>245</v>
      </c>
      <c r="F8" s="13" t="s">
        <v>50</v>
      </c>
      <c r="G8" s="13" t="s">
        <v>50</v>
      </c>
      <c r="H8" s="14" t="s">
        <v>250</v>
      </c>
      <c r="I8" s="15">
        <v>2</v>
      </c>
      <c r="J8" s="13" t="s">
        <v>247</v>
      </c>
      <c r="K8" s="14"/>
    </row>
    <row r="9" spans="1:11" ht="25.5" x14ac:dyDescent="0.25">
      <c r="A9" s="13" t="s">
        <v>132</v>
      </c>
      <c r="B9" s="13" t="s">
        <v>16</v>
      </c>
      <c r="C9" s="13" t="s">
        <v>282</v>
      </c>
      <c r="D9" s="13" t="s">
        <v>283</v>
      </c>
      <c r="E9" s="13" t="s">
        <v>245</v>
      </c>
      <c r="F9" s="13" t="s">
        <v>50</v>
      </c>
      <c r="G9" s="13" t="s">
        <v>50</v>
      </c>
      <c r="H9" s="14" t="s">
        <v>250</v>
      </c>
      <c r="I9" s="15">
        <v>2</v>
      </c>
      <c r="J9" s="13" t="s">
        <v>247</v>
      </c>
      <c r="K9" s="14"/>
    </row>
    <row r="10" spans="1:11" ht="25.5" x14ac:dyDescent="0.25">
      <c r="A10" s="13" t="s">
        <v>132</v>
      </c>
      <c r="B10" s="13" t="s">
        <v>16</v>
      </c>
      <c r="C10" s="13" t="s">
        <v>295</v>
      </c>
      <c r="D10" s="13" t="s">
        <v>296</v>
      </c>
      <c r="E10" s="13" t="s">
        <v>245</v>
      </c>
      <c r="F10" s="13" t="s">
        <v>50</v>
      </c>
      <c r="G10" s="13" t="s">
        <v>50</v>
      </c>
      <c r="H10" s="14" t="s">
        <v>250</v>
      </c>
      <c r="I10" s="15">
        <v>2</v>
      </c>
      <c r="J10" s="13" t="s">
        <v>247</v>
      </c>
      <c r="K10" s="14"/>
    </row>
    <row r="11" spans="1:11" ht="25.5" x14ac:dyDescent="0.25">
      <c r="A11" s="10" t="s">
        <v>132</v>
      </c>
      <c r="B11" s="10" t="s">
        <v>16</v>
      </c>
      <c r="C11" s="10" t="s">
        <v>297</v>
      </c>
      <c r="D11" s="10" t="s">
        <v>298</v>
      </c>
      <c r="E11" s="10" t="s">
        <v>245</v>
      </c>
      <c r="F11" s="10" t="s">
        <v>50</v>
      </c>
      <c r="G11" s="10" t="s">
        <v>50</v>
      </c>
      <c r="H11" s="11" t="s">
        <v>250</v>
      </c>
      <c r="I11" s="12">
        <v>2</v>
      </c>
      <c r="J11" s="10" t="s">
        <v>247</v>
      </c>
      <c r="K11" s="11"/>
    </row>
    <row r="12" spans="1:11" ht="25.5" x14ac:dyDescent="0.25">
      <c r="A12" s="13" t="s">
        <v>132</v>
      </c>
      <c r="B12" s="13" t="s">
        <v>16</v>
      </c>
      <c r="C12" s="13" t="s">
        <v>299</v>
      </c>
      <c r="D12" s="13" t="s">
        <v>300</v>
      </c>
      <c r="E12" s="13" t="s">
        <v>245</v>
      </c>
      <c r="F12" s="13" t="s">
        <v>50</v>
      </c>
      <c r="G12" s="13" t="s">
        <v>50</v>
      </c>
      <c r="H12" s="14" t="s">
        <v>250</v>
      </c>
      <c r="I12" s="15">
        <v>2</v>
      </c>
      <c r="J12" s="13" t="s">
        <v>247</v>
      </c>
      <c r="K12" s="14"/>
    </row>
    <row r="13" spans="1:11" ht="25.5" x14ac:dyDescent="0.25">
      <c r="A13" s="10" t="s">
        <v>132</v>
      </c>
      <c r="B13" s="10" t="s">
        <v>16</v>
      </c>
      <c r="C13" s="10" t="s">
        <v>301</v>
      </c>
      <c r="D13" s="10" t="s">
        <v>302</v>
      </c>
      <c r="E13" s="10" t="s">
        <v>245</v>
      </c>
      <c r="F13" s="10" t="s">
        <v>50</v>
      </c>
      <c r="G13" s="10" t="s">
        <v>50</v>
      </c>
      <c r="H13" s="11" t="s">
        <v>250</v>
      </c>
      <c r="I13" s="12">
        <v>2</v>
      </c>
      <c r="J13" s="10" t="s">
        <v>247</v>
      </c>
      <c r="K13" s="11"/>
    </row>
    <row r="14" spans="1:11" ht="25.5" x14ac:dyDescent="0.25">
      <c r="A14" s="13" t="s">
        <v>132</v>
      </c>
      <c r="B14" s="13" t="s">
        <v>16</v>
      </c>
      <c r="C14" s="13" t="s">
        <v>335</v>
      </c>
      <c r="D14" s="13" t="s">
        <v>336</v>
      </c>
      <c r="E14" s="13" t="s">
        <v>245</v>
      </c>
      <c r="F14" s="13" t="s">
        <v>50</v>
      </c>
      <c r="G14" s="13" t="s">
        <v>50</v>
      </c>
      <c r="H14" s="14" t="s">
        <v>250</v>
      </c>
      <c r="I14" s="15">
        <v>2</v>
      </c>
      <c r="J14" s="13" t="s">
        <v>247</v>
      </c>
      <c r="K14" s="14"/>
    </row>
    <row r="15" spans="1:11" ht="25.5" x14ac:dyDescent="0.25">
      <c r="A15" s="13" t="s">
        <v>132</v>
      </c>
      <c r="B15" s="13" t="s">
        <v>16</v>
      </c>
      <c r="C15" s="13" t="s">
        <v>353</v>
      </c>
      <c r="D15" s="13" t="s">
        <v>354</v>
      </c>
      <c r="E15" s="13" t="s">
        <v>245</v>
      </c>
      <c r="F15" s="13" t="s">
        <v>50</v>
      </c>
      <c r="G15" s="13" t="s">
        <v>50</v>
      </c>
      <c r="H15" s="14" t="s">
        <v>250</v>
      </c>
      <c r="I15" s="15">
        <v>2</v>
      </c>
      <c r="J15" s="13" t="s">
        <v>247</v>
      </c>
      <c r="K15" s="14"/>
    </row>
    <row r="16" spans="1:11" ht="25.5" x14ac:dyDescent="0.25">
      <c r="A16" s="10" t="s">
        <v>132</v>
      </c>
      <c r="B16" s="10" t="s">
        <v>16</v>
      </c>
      <c r="C16" s="10" t="s">
        <v>355</v>
      </c>
      <c r="D16" s="10" t="s">
        <v>356</v>
      </c>
      <c r="E16" s="10" t="s">
        <v>245</v>
      </c>
      <c r="F16" s="10" t="s">
        <v>50</v>
      </c>
      <c r="G16" s="10" t="s">
        <v>50</v>
      </c>
      <c r="H16" s="11" t="s">
        <v>250</v>
      </c>
      <c r="I16" s="12">
        <v>2</v>
      </c>
      <c r="J16" s="10" t="s">
        <v>247</v>
      </c>
      <c r="K16" s="11"/>
    </row>
    <row r="17" spans="1:11" ht="25.5" x14ac:dyDescent="0.25">
      <c r="A17" s="13" t="s">
        <v>132</v>
      </c>
      <c r="B17" s="13" t="s">
        <v>16</v>
      </c>
      <c r="C17" s="13" t="s">
        <v>357</v>
      </c>
      <c r="D17" s="13" t="s">
        <v>358</v>
      </c>
      <c r="E17" s="13" t="s">
        <v>245</v>
      </c>
      <c r="F17" s="13" t="s">
        <v>50</v>
      </c>
      <c r="G17" s="13" t="s">
        <v>50</v>
      </c>
      <c r="H17" s="14" t="s">
        <v>250</v>
      </c>
      <c r="I17" s="15">
        <v>2</v>
      </c>
      <c r="J17" s="13" t="s">
        <v>247</v>
      </c>
      <c r="K17" s="14"/>
    </row>
    <row r="18" spans="1:11" ht="25.5" x14ac:dyDescent="0.25">
      <c r="A18" s="10" t="s">
        <v>132</v>
      </c>
      <c r="B18" s="10" t="s">
        <v>16</v>
      </c>
      <c r="C18" s="10" t="s">
        <v>359</v>
      </c>
      <c r="D18" s="10" t="s">
        <v>360</v>
      </c>
      <c r="E18" s="10" t="s">
        <v>245</v>
      </c>
      <c r="F18" s="10" t="s">
        <v>50</v>
      </c>
      <c r="G18" s="10" t="s">
        <v>50</v>
      </c>
      <c r="H18" s="11" t="s">
        <v>250</v>
      </c>
      <c r="I18" s="12">
        <v>2</v>
      </c>
      <c r="J18" s="10" t="s">
        <v>247</v>
      </c>
      <c r="K18" s="11"/>
    </row>
    <row r="19" spans="1:11" ht="38.25" x14ac:dyDescent="0.25">
      <c r="A19" s="10" t="s">
        <v>47</v>
      </c>
      <c r="B19" s="10" t="s">
        <v>13</v>
      </c>
      <c r="C19" s="10" t="s">
        <v>98</v>
      </c>
      <c r="D19" s="10" t="s">
        <v>99</v>
      </c>
      <c r="E19" s="10" t="s">
        <v>50</v>
      </c>
      <c r="F19" s="10" t="s">
        <v>50</v>
      </c>
      <c r="G19" s="10" t="s">
        <v>50</v>
      </c>
      <c r="H19" s="11" t="s">
        <v>100</v>
      </c>
      <c r="I19" s="12">
        <v>5</v>
      </c>
      <c r="J19" s="10" t="s">
        <v>57</v>
      </c>
      <c r="K19" s="11" t="s">
        <v>101</v>
      </c>
    </row>
    <row r="20" spans="1:11" ht="25.5" x14ac:dyDescent="0.25">
      <c r="A20" s="10" t="s">
        <v>132</v>
      </c>
      <c r="B20" s="10" t="s">
        <v>16</v>
      </c>
      <c r="C20" s="10" t="s">
        <v>243</v>
      </c>
      <c r="D20" s="10" t="s">
        <v>244</v>
      </c>
      <c r="E20" s="10" t="s">
        <v>245</v>
      </c>
      <c r="F20" s="10" t="s">
        <v>50</v>
      </c>
      <c r="G20" s="10" t="s">
        <v>50</v>
      </c>
      <c r="H20" s="11" t="s">
        <v>246</v>
      </c>
      <c r="I20" s="12">
        <v>5</v>
      </c>
      <c r="J20" s="10" t="s">
        <v>247</v>
      </c>
      <c r="K20" s="11"/>
    </row>
    <row r="21" spans="1:11" ht="25.5" x14ac:dyDescent="0.25">
      <c r="A21" s="13" t="s">
        <v>132</v>
      </c>
      <c r="B21" s="13" t="s">
        <v>16</v>
      </c>
      <c r="C21" s="13" t="s">
        <v>248</v>
      </c>
      <c r="D21" s="13" t="s">
        <v>249</v>
      </c>
      <c r="E21" s="13" t="s">
        <v>245</v>
      </c>
      <c r="F21" s="13" t="s">
        <v>50</v>
      </c>
      <c r="G21" s="13" t="s">
        <v>50</v>
      </c>
      <c r="H21" s="14" t="s">
        <v>250</v>
      </c>
      <c r="I21" s="15">
        <v>5</v>
      </c>
      <c r="J21" s="13" t="s">
        <v>247</v>
      </c>
      <c r="K21" s="14"/>
    </row>
    <row r="22" spans="1:11" ht="25.5" x14ac:dyDescent="0.25">
      <c r="A22" s="13" t="s">
        <v>132</v>
      </c>
      <c r="B22" s="13" t="s">
        <v>16</v>
      </c>
      <c r="C22" s="13" t="s">
        <v>287</v>
      </c>
      <c r="D22" s="13" t="s">
        <v>288</v>
      </c>
      <c r="E22" s="13" t="s">
        <v>289</v>
      </c>
      <c r="F22" s="13" t="s">
        <v>50</v>
      </c>
      <c r="G22" s="13" t="s">
        <v>50</v>
      </c>
      <c r="H22" s="14" t="s">
        <v>290</v>
      </c>
      <c r="I22" s="15">
        <v>5</v>
      </c>
      <c r="J22" s="13" t="s">
        <v>291</v>
      </c>
      <c r="K22" s="14" t="s">
        <v>292</v>
      </c>
    </row>
    <row r="23" spans="1:11" ht="38.25" x14ac:dyDescent="0.25">
      <c r="A23" s="13" t="s">
        <v>132</v>
      </c>
      <c r="B23" s="13" t="s">
        <v>17</v>
      </c>
      <c r="C23" s="13" t="s">
        <v>366</v>
      </c>
      <c r="D23" s="13" t="s">
        <v>367</v>
      </c>
      <c r="E23" s="13" t="s">
        <v>50</v>
      </c>
      <c r="F23" s="13" t="s">
        <v>50</v>
      </c>
      <c r="G23" s="13" t="s">
        <v>50</v>
      </c>
      <c r="H23" s="14" t="s">
        <v>368</v>
      </c>
      <c r="I23" s="15">
        <v>5</v>
      </c>
      <c r="J23" s="13" t="s">
        <v>57</v>
      </c>
      <c r="K23" s="14" t="s">
        <v>369</v>
      </c>
    </row>
    <row r="24" spans="1:11" x14ac:dyDescent="0.25">
      <c r="A24" s="10" t="s">
        <v>132</v>
      </c>
      <c r="B24" s="10" t="s">
        <v>17</v>
      </c>
      <c r="C24" s="10" t="s">
        <v>370</v>
      </c>
      <c r="D24" s="10" t="s">
        <v>371</v>
      </c>
      <c r="E24" s="10" t="s">
        <v>50</v>
      </c>
      <c r="F24" s="10" t="s">
        <v>50</v>
      </c>
      <c r="G24" s="10" t="s">
        <v>50</v>
      </c>
      <c r="H24" s="11" t="s">
        <v>130</v>
      </c>
      <c r="I24" s="12">
        <v>5</v>
      </c>
      <c r="J24" s="10" t="s">
        <v>57</v>
      </c>
      <c r="K24" s="11"/>
    </row>
    <row r="25" spans="1:11" x14ac:dyDescent="0.25">
      <c r="A25" s="13" t="s">
        <v>132</v>
      </c>
      <c r="B25" s="13" t="s">
        <v>17</v>
      </c>
      <c r="C25" s="13" t="s">
        <v>372</v>
      </c>
      <c r="D25" s="13" t="s">
        <v>373</v>
      </c>
      <c r="E25" s="13" t="s">
        <v>50</v>
      </c>
      <c r="F25" s="13" t="s">
        <v>50</v>
      </c>
      <c r="G25" s="13" t="s">
        <v>50</v>
      </c>
      <c r="H25" s="14" t="s">
        <v>130</v>
      </c>
      <c r="I25" s="15">
        <v>5</v>
      </c>
      <c r="J25" s="13" t="s">
        <v>57</v>
      </c>
      <c r="K25" s="14"/>
    </row>
    <row r="26" spans="1:11" x14ac:dyDescent="0.25">
      <c r="A26" s="10" t="s">
        <v>132</v>
      </c>
      <c r="B26" s="10" t="s">
        <v>17</v>
      </c>
      <c r="C26" s="10" t="s">
        <v>374</v>
      </c>
      <c r="D26" s="10" t="s">
        <v>375</v>
      </c>
      <c r="E26" s="10" t="s">
        <v>50</v>
      </c>
      <c r="F26" s="10" t="s">
        <v>50</v>
      </c>
      <c r="G26" s="10" t="s">
        <v>50</v>
      </c>
      <c r="H26" s="11" t="s">
        <v>130</v>
      </c>
      <c r="I26" s="12">
        <v>5</v>
      </c>
      <c r="J26" s="10" t="s">
        <v>57</v>
      </c>
      <c r="K26" s="11"/>
    </row>
    <row r="27" spans="1:11" x14ac:dyDescent="0.25">
      <c r="A27" s="13" t="s">
        <v>132</v>
      </c>
      <c r="B27" s="13" t="s">
        <v>17</v>
      </c>
      <c r="C27" s="13" t="s">
        <v>376</v>
      </c>
      <c r="D27" s="13" t="s">
        <v>377</v>
      </c>
      <c r="E27" s="13" t="s">
        <v>50</v>
      </c>
      <c r="F27" s="13" t="s">
        <v>50</v>
      </c>
      <c r="G27" s="13" t="s">
        <v>50</v>
      </c>
      <c r="H27" s="14" t="s">
        <v>130</v>
      </c>
      <c r="I27" s="15">
        <v>5</v>
      </c>
      <c r="J27" s="13" t="s">
        <v>57</v>
      </c>
      <c r="K27" s="14" t="s">
        <v>378</v>
      </c>
    </row>
    <row r="28" spans="1:11" x14ac:dyDescent="0.25">
      <c r="A28" s="10" t="s">
        <v>132</v>
      </c>
      <c r="B28" s="10" t="s">
        <v>17</v>
      </c>
      <c r="C28" s="10" t="s">
        <v>379</v>
      </c>
      <c r="D28" s="10" t="s">
        <v>380</v>
      </c>
      <c r="E28" s="10" t="s">
        <v>50</v>
      </c>
      <c r="F28" s="10" t="s">
        <v>50</v>
      </c>
      <c r="G28" s="10" t="s">
        <v>50</v>
      </c>
      <c r="H28" s="11" t="s">
        <v>130</v>
      </c>
      <c r="I28" s="12">
        <v>5</v>
      </c>
      <c r="J28" s="10" t="s">
        <v>57</v>
      </c>
      <c r="K28" s="11"/>
    </row>
    <row r="29" spans="1:11" ht="25.5" x14ac:dyDescent="0.25">
      <c r="A29" s="13" t="s">
        <v>132</v>
      </c>
      <c r="B29" s="13" t="s">
        <v>18</v>
      </c>
      <c r="C29" s="13" t="s">
        <v>389</v>
      </c>
      <c r="D29" s="13" t="s">
        <v>390</v>
      </c>
      <c r="E29" s="13" t="s">
        <v>50</v>
      </c>
      <c r="F29" s="13" t="s">
        <v>50</v>
      </c>
      <c r="G29" s="13" t="s">
        <v>50</v>
      </c>
      <c r="H29" s="14" t="s">
        <v>391</v>
      </c>
      <c r="I29" s="15">
        <v>5</v>
      </c>
      <c r="J29" s="13" t="s">
        <v>57</v>
      </c>
      <c r="K29" s="14" t="s">
        <v>392</v>
      </c>
    </row>
    <row r="30" spans="1:11" ht="51" x14ac:dyDescent="0.25">
      <c r="A30" s="13" t="s">
        <v>132</v>
      </c>
      <c r="B30" s="13" t="s">
        <v>21</v>
      </c>
      <c r="C30" s="13" t="s">
        <v>423</v>
      </c>
      <c r="D30" s="13" t="s">
        <v>424</v>
      </c>
      <c r="E30" s="13" t="s">
        <v>50</v>
      </c>
      <c r="F30" s="13" t="s">
        <v>50</v>
      </c>
      <c r="G30" s="13" t="s">
        <v>425</v>
      </c>
      <c r="H30" s="14" t="s">
        <v>368</v>
      </c>
      <c r="I30" s="15">
        <v>5</v>
      </c>
      <c r="J30" s="13" t="s">
        <v>117</v>
      </c>
      <c r="K30" s="14" t="s">
        <v>426</v>
      </c>
    </row>
    <row r="31" spans="1:11" ht="63.75" x14ac:dyDescent="0.25">
      <c r="A31" s="10" t="s">
        <v>132</v>
      </c>
      <c r="B31" s="10" t="s">
        <v>21</v>
      </c>
      <c r="C31" s="10" t="s">
        <v>427</v>
      </c>
      <c r="D31" s="10" t="s">
        <v>428</v>
      </c>
      <c r="E31" s="10" t="s">
        <v>50</v>
      </c>
      <c r="F31" s="10" t="s">
        <v>50</v>
      </c>
      <c r="G31" s="10" t="s">
        <v>425</v>
      </c>
      <c r="H31" s="11" t="s">
        <v>368</v>
      </c>
      <c r="I31" s="12">
        <v>5</v>
      </c>
      <c r="J31" s="10" t="s">
        <v>117</v>
      </c>
      <c r="K31" s="11" t="s">
        <v>429</v>
      </c>
    </row>
    <row r="32" spans="1:11" ht="38.25" x14ac:dyDescent="0.25">
      <c r="A32" s="13" t="s">
        <v>430</v>
      </c>
      <c r="B32" s="13" t="s">
        <v>22</v>
      </c>
      <c r="C32" s="13" t="s">
        <v>431</v>
      </c>
      <c r="D32" s="13" t="s">
        <v>432</v>
      </c>
      <c r="E32" s="13" t="s">
        <v>50</v>
      </c>
      <c r="F32" s="13" t="s">
        <v>50</v>
      </c>
      <c r="G32" s="13" t="s">
        <v>50</v>
      </c>
      <c r="H32" s="14" t="s">
        <v>433</v>
      </c>
      <c r="I32" s="15">
        <v>5</v>
      </c>
      <c r="J32" s="13" t="s">
        <v>434</v>
      </c>
      <c r="K32" s="14" t="s">
        <v>435</v>
      </c>
    </row>
    <row r="33" spans="1:11" ht="38.25" x14ac:dyDescent="0.25">
      <c r="A33" s="10" t="s">
        <v>47</v>
      </c>
      <c r="B33" s="10" t="s">
        <v>13</v>
      </c>
      <c r="C33" s="10" t="s">
        <v>114</v>
      </c>
      <c r="D33" s="10" t="s">
        <v>115</v>
      </c>
      <c r="E33" s="10" t="s">
        <v>50</v>
      </c>
      <c r="F33" s="10" t="s">
        <v>50</v>
      </c>
      <c r="G33" s="10" t="s">
        <v>50</v>
      </c>
      <c r="H33" s="11" t="s">
        <v>116</v>
      </c>
      <c r="I33" s="12">
        <v>10</v>
      </c>
      <c r="J33" s="10" t="s">
        <v>117</v>
      </c>
      <c r="K33" s="11" t="s">
        <v>118</v>
      </c>
    </row>
    <row r="34" spans="1:11" ht="63.75" x14ac:dyDescent="0.25">
      <c r="A34" s="10" t="s">
        <v>132</v>
      </c>
      <c r="B34" s="10" t="s">
        <v>16</v>
      </c>
      <c r="C34" s="10" t="s">
        <v>316</v>
      </c>
      <c r="D34" s="10" t="s">
        <v>317</v>
      </c>
      <c r="E34" s="10" t="s">
        <v>50</v>
      </c>
      <c r="F34" s="10" t="s">
        <v>50</v>
      </c>
      <c r="G34" s="10" t="s">
        <v>50</v>
      </c>
      <c r="H34" s="11" t="s">
        <v>318</v>
      </c>
      <c r="I34" s="12">
        <v>10</v>
      </c>
      <c r="J34" s="10" t="s">
        <v>319</v>
      </c>
      <c r="K34" s="11" t="s">
        <v>320</v>
      </c>
    </row>
    <row r="35" spans="1:11" ht="25.5" x14ac:dyDescent="0.25">
      <c r="A35" s="13" t="s">
        <v>132</v>
      </c>
      <c r="B35" s="13" t="s">
        <v>16</v>
      </c>
      <c r="C35" s="13" t="s">
        <v>321</v>
      </c>
      <c r="D35" s="13" t="s">
        <v>322</v>
      </c>
      <c r="E35" s="13" t="s">
        <v>50</v>
      </c>
      <c r="F35" s="13" t="s">
        <v>50</v>
      </c>
      <c r="G35" s="13" t="s">
        <v>50</v>
      </c>
      <c r="H35" s="14" t="s">
        <v>323</v>
      </c>
      <c r="I35" s="15">
        <v>10</v>
      </c>
      <c r="J35" s="13" t="s">
        <v>324</v>
      </c>
      <c r="K35" s="14" t="s">
        <v>325</v>
      </c>
    </row>
    <row r="36" spans="1:11" ht="38.25" x14ac:dyDescent="0.25">
      <c r="A36" s="13" t="s">
        <v>132</v>
      </c>
      <c r="B36" s="13" t="s">
        <v>16</v>
      </c>
      <c r="C36" s="13" t="s">
        <v>329</v>
      </c>
      <c r="D36" s="13" t="s">
        <v>330</v>
      </c>
      <c r="E36" s="13" t="s">
        <v>50</v>
      </c>
      <c r="F36" s="13" t="s">
        <v>50</v>
      </c>
      <c r="G36" s="13" t="s">
        <v>50</v>
      </c>
      <c r="H36" s="14" t="s">
        <v>130</v>
      </c>
      <c r="I36" s="15">
        <v>10</v>
      </c>
      <c r="J36" s="13" t="s">
        <v>324</v>
      </c>
      <c r="K36" s="14" t="s">
        <v>331</v>
      </c>
    </row>
    <row r="37" spans="1:11" x14ac:dyDescent="0.25">
      <c r="A37" s="10" t="s">
        <v>132</v>
      </c>
      <c r="B37" s="10" t="s">
        <v>16</v>
      </c>
      <c r="C37" s="10" t="s">
        <v>332</v>
      </c>
      <c r="D37" s="10" t="s">
        <v>333</v>
      </c>
      <c r="E37" s="10" t="s">
        <v>50</v>
      </c>
      <c r="F37" s="10" t="s">
        <v>50</v>
      </c>
      <c r="G37" s="10" t="s">
        <v>50</v>
      </c>
      <c r="H37" s="11" t="s">
        <v>130</v>
      </c>
      <c r="I37" s="12">
        <v>10</v>
      </c>
      <c r="J37" s="10" t="s">
        <v>324</v>
      </c>
      <c r="K37" s="11" t="s">
        <v>334</v>
      </c>
    </row>
    <row r="38" spans="1:11" ht="76.5" x14ac:dyDescent="0.25">
      <c r="A38" s="13" t="s">
        <v>430</v>
      </c>
      <c r="B38" s="13" t="s">
        <v>23</v>
      </c>
      <c r="C38" s="13" t="s">
        <v>455</v>
      </c>
      <c r="D38" s="13" t="s">
        <v>456</v>
      </c>
      <c r="E38" s="13" t="s">
        <v>457</v>
      </c>
      <c r="F38" s="13" t="s">
        <v>50</v>
      </c>
      <c r="G38" s="13" t="s">
        <v>50</v>
      </c>
      <c r="H38" s="14" t="s">
        <v>458</v>
      </c>
      <c r="I38" s="15">
        <v>10</v>
      </c>
      <c r="J38" s="13" t="s">
        <v>459</v>
      </c>
      <c r="K38" s="14" t="s">
        <v>460</v>
      </c>
    </row>
    <row r="39" spans="1:11" x14ac:dyDescent="0.25">
      <c r="A39" s="10" t="s">
        <v>430</v>
      </c>
      <c r="B39" s="10" t="s">
        <v>23</v>
      </c>
      <c r="C39" s="10" t="s">
        <v>461</v>
      </c>
      <c r="D39" s="10" t="s">
        <v>462</v>
      </c>
      <c r="E39" s="10" t="s">
        <v>457</v>
      </c>
      <c r="F39" s="10" t="s">
        <v>50</v>
      </c>
      <c r="G39" s="10" t="s">
        <v>50</v>
      </c>
      <c r="H39" s="11" t="s">
        <v>447</v>
      </c>
      <c r="I39" s="12">
        <v>10</v>
      </c>
      <c r="J39" s="10" t="s">
        <v>459</v>
      </c>
      <c r="K39" s="11"/>
    </row>
    <row r="40" spans="1:11" x14ac:dyDescent="0.25">
      <c r="A40" s="13" t="s">
        <v>430</v>
      </c>
      <c r="B40" s="13" t="s">
        <v>23</v>
      </c>
      <c r="C40" s="13" t="s">
        <v>463</v>
      </c>
      <c r="D40" s="13" t="s">
        <v>464</v>
      </c>
      <c r="E40" s="13" t="s">
        <v>457</v>
      </c>
      <c r="F40" s="13" t="s">
        <v>50</v>
      </c>
      <c r="G40" s="13" t="s">
        <v>50</v>
      </c>
      <c r="H40" s="14" t="s">
        <v>447</v>
      </c>
      <c r="I40" s="15">
        <v>10</v>
      </c>
      <c r="J40" s="13" t="s">
        <v>459</v>
      </c>
      <c r="K40" s="14"/>
    </row>
    <row r="41" spans="1:11" x14ac:dyDescent="0.25">
      <c r="A41" s="10" t="s">
        <v>430</v>
      </c>
      <c r="B41" s="10" t="s">
        <v>23</v>
      </c>
      <c r="C41" s="10" t="s">
        <v>465</v>
      </c>
      <c r="D41" s="10" t="s">
        <v>466</v>
      </c>
      <c r="E41" s="10" t="s">
        <v>457</v>
      </c>
      <c r="F41" s="10" t="s">
        <v>50</v>
      </c>
      <c r="G41" s="10" t="s">
        <v>50</v>
      </c>
      <c r="H41" s="11" t="s">
        <v>447</v>
      </c>
      <c r="I41" s="12">
        <v>10</v>
      </c>
      <c r="J41" s="10" t="s">
        <v>459</v>
      </c>
      <c r="K41" s="11"/>
    </row>
    <row r="42" spans="1:11" ht="63.75" x14ac:dyDescent="0.25">
      <c r="A42" s="10" t="s">
        <v>430</v>
      </c>
      <c r="B42" s="10" t="s">
        <v>24</v>
      </c>
      <c r="C42" s="10" t="s">
        <v>474</v>
      </c>
      <c r="D42" s="10" t="s">
        <v>475</v>
      </c>
      <c r="E42" s="10" t="s">
        <v>476</v>
      </c>
      <c r="F42" s="10" t="s">
        <v>50</v>
      </c>
      <c r="G42" s="10" t="s">
        <v>50</v>
      </c>
      <c r="H42" s="11" t="s">
        <v>477</v>
      </c>
      <c r="I42" s="12">
        <v>10</v>
      </c>
      <c r="J42" s="10" t="s">
        <v>434</v>
      </c>
      <c r="K42" s="11" t="s">
        <v>478</v>
      </c>
    </row>
    <row r="43" spans="1:11" x14ac:dyDescent="0.25">
      <c r="A43" s="13" t="s">
        <v>47</v>
      </c>
      <c r="B43" s="13" t="s">
        <v>13</v>
      </c>
      <c r="C43" s="13" t="s">
        <v>128</v>
      </c>
      <c r="D43" s="13" t="s">
        <v>129</v>
      </c>
      <c r="E43" s="13" t="s">
        <v>50</v>
      </c>
      <c r="F43" s="13" t="s">
        <v>50</v>
      </c>
      <c r="G43" s="13" t="s">
        <v>50</v>
      </c>
      <c r="H43" s="14" t="s">
        <v>130</v>
      </c>
      <c r="I43" s="15">
        <v>15</v>
      </c>
      <c r="J43" s="13" t="s">
        <v>122</v>
      </c>
      <c r="K43" s="14" t="s">
        <v>131</v>
      </c>
    </row>
    <row r="44" spans="1:11" ht="51" x14ac:dyDescent="0.25">
      <c r="A44" s="13" t="s">
        <v>132</v>
      </c>
      <c r="B44" s="13" t="s">
        <v>15</v>
      </c>
      <c r="C44" s="13" t="s">
        <v>202</v>
      </c>
      <c r="D44" s="13" t="s">
        <v>203</v>
      </c>
      <c r="E44" s="13" t="s">
        <v>204</v>
      </c>
      <c r="F44" s="13" t="s">
        <v>50</v>
      </c>
      <c r="G44" s="13" t="s">
        <v>50</v>
      </c>
      <c r="H44" s="14" t="s">
        <v>205</v>
      </c>
      <c r="I44" s="15">
        <v>15</v>
      </c>
      <c r="J44" s="13" t="s">
        <v>57</v>
      </c>
      <c r="K44" s="14" t="s">
        <v>206</v>
      </c>
    </row>
    <row r="45" spans="1:11" ht="25.5" x14ac:dyDescent="0.25">
      <c r="A45" s="13" t="s">
        <v>47</v>
      </c>
      <c r="B45" s="13" t="s">
        <v>13</v>
      </c>
      <c r="C45" s="13" t="s">
        <v>119</v>
      </c>
      <c r="D45" s="13" t="s">
        <v>120</v>
      </c>
      <c r="E45" s="13" t="s">
        <v>50</v>
      </c>
      <c r="F45" s="13" t="s">
        <v>50</v>
      </c>
      <c r="G45" s="13" t="s">
        <v>50</v>
      </c>
      <c r="H45" s="14" t="s">
        <v>121</v>
      </c>
      <c r="I45" s="15">
        <v>20</v>
      </c>
      <c r="J45" s="13" t="s">
        <v>122</v>
      </c>
      <c r="K45" s="14" t="s">
        <v>123</v>
      </c>
    </row>
    <row r="46" spans="1:11" ht="25.5" x14ac:dyDescent="0.25">
      <c r="A46" s="10" t="s">
        <v>132</v>
      </c>
      <c r="B46" s="10" t="s">
        <v>18</v>
      </c>
      <c r="C46" s="10" t="s">
        <v>393</v>
      </c>
      <c r="D46" s="10" t="s">
        <v>394</v>
      </c>
      <c r="E46" s="10" t="s">
        <v>50</v>
      </c>
      <c r="F46" s="10" t="s">
        <v>50</v>
      </c>
      <c r="G46" s="10" t="s">
        <v>50</v>
      </c>
      <c r="H46" s="11" t="s">
        <v>395</v>
      </c>
      <c r="I46" s="12">
        <v>20</v>
      </c>
      <c r="J46" s="10" t="s">
        <v>122</v>
      </c>
      <c r="K46" s="11" t="s">
        <v>396</v>
      </c>
    </row>
    <row r="47" spans="1:11" ht="25.5" x14ac:dyDescent="0.25">
      <c r="A47" s="10" t="s">
        <v>132</v>
      </c>
      <c r="B47" s="10" t="s">
        <v>16</v>
      </c>
      <c r="C47" s="10" t="s">
        <v>267</v>
      </c>
      <c r="D47" s="10" t="s">
        <v>268</v>
      </c>
      <c r="E47" s="10" t="s">
        <v>50</v>
      </c>
      <c r="F47" s="10" t="s">
        <v>50</v>
      </c>
      <c r="G47" s="10" t="s">
        <v>50</v>
      </c>
      <c r="H47" s="11" t="s">
        <v>217</v>
      </c>
      <c r="I47" s="12">
        <v>25</v>
      </c>
      <c r="J47" s="10" t="s">
        <v>218</v>
      </c>
      <c r="K47" s="11" t="s">
        <v>269</v>
      </c>
    </row>
    <row r="48" spans="1:11" ht="25.5" x14ac:dyDescent="0.25">
      <c r="A48" s="10" t="s">
        <v>47</v>
      </c>
      <c r="B48" s="10" t="s">
        <v>13</v>
      </c>
      <c r="C48" s="10" t="s">
        <v>124</v>
      </c>
      <c r="D48" s="10" t="s">
        <v>125</v>
      </c>
      <c r="E48" s="10" t="s">
        <v>50</v>
      </c>
      <c r="F48" s="10" t="s">
        <v>50</v>
      </c>
      <c r="G48" s="10" t="s">
        <v>50</v>
      </c>
      <c r="H48" s="11" t="s">
        <v>126</v>
      </c>
      <c r="I48" s="12">
        <v>30</v>
      </c>
      <c r="J48" s="10" t="s">
        <v>122</v>
      </c>
      <c r="K48" s="11" t="s">
        <v>127</v>
      </c>
    </row>
    <row r="49" spans="1:11" ht="25.5" x14ac:dyDescent="0.25">
      <c r="A49" s="10" t="s">
        <v>132</v>
      </c>
      <c r="B49" s="10" t="s">
        <v>16</v>
      </c>
      <c r="C49" s="10" t="s">
        <v>215</v>
      </c>
      <c r="D49" s="10" t="s">
        <v>216</v>
      </c>
      <c r="E49" s="10" t="s">
        <v>50</v>
      </c>
      <c r="F49" s="10" t="s">
        <v>50</v>
      </c>
      <c r="G49" s="10" t="s">
        <v>50</v>
      </c>
      <c r="H49" s="11" t="s">
        <v>217</v>
      </c>
      <c r="I49" s="12">
        <v>30</v>
      </c>
      <c r="J49" s="10" t="s">
        <v>218</v>
      </c>
      <c r="K49" s="11" t="s">
        <v>219</v>
      </c>
    </row>
    <row r="50" spans="1:11" ht="38.25" x14ac:dyDescent="0.25">
      <c r="A50" s="13" t="s">
        <v>47</v>
      </c>
      <c r="B50" s="13" t="s">
        <v>12</v>
      </c>
      <c r="C50" s="13" t="s">
        <v>54</v>
      </c>
      <c r="D50" s="13" t="s">
        <v>55</v>
      </c>
      <c r="E50" s="13" t="s">
        <v>50</v>
      </c>
      <c r="F50" s="13" t="s">
        <v>50</v>
      </c>
      <c r="G50" s="13" t="s">
        <v>50</v>
      </c>
      <c r="H50" s="14" t="s">
        <v>56</v>
      </c>
      <c r="I50" s="15">
        <v>35</v>
      </c>
      <c r="J50" s="13" t="s">
        <v>57</v>
      </c>
      <c r="K50" s="14" t="s">
        <v>58</v>
      </c>
    </row>
    <row r="51" spans="1:11" ht="25.5" x14ac:dyDescent="0.25">
      <c r="A51" s="10" t="s">
        <v>47</v>
      </c>
      <c r="B51" s="10" t="s">
        <v>12</v>
      </c>
      <c r="C51" s="10" t="s">
        <v>66</v>
      </c>
      <c r="D51" s="10" t="s">
        <v>67</v>
      </c>
      <c r="E51" s="10" t="s">
        <v>50</v>
      </c>
      <c r="F51" s="10" t="s">
        <v>50</v>
      </c>
      <c r="G51" s="10" t="s">
        <v>50</v>
      </c>
      <c r="H51" s="11" t="s">
        <v>56</v>
      </c>
      <c r="I51" s="12">
        <v>35</v>
      </c>
      <c r="J51" s="10" t="s">
        <v>57</v>
      </c>
      <c r="K51" s="11" t="s">
        <v>68</v>
      </c>
    </row>
    <row r="52" spans="1:11" ht="51" x14ac:dyDescent="0.25">
      <c r="A52" s="13" t="s">
        <v>132</v>
      </c>
      <c r="B52" s="13" t="s">
        <v>19</v>
      </c>
      <c r="C52" s="13" t="s">
        <v>413</v>
      </c>
      <c r="D52" s="13" t="s">
        <v>414</v>
      </c>
      <c r="E52" s="13" t="s">
        <v>50</v>
      </c>
      <c r="F52" s="13" t="s">
        <v>50</v>
      </c>
      <c r="G52" s="13" t="s">
        <v>50</v>
      </c>
      <c r="H52" s="14" t="s">
        <v>415</v>
      </c>
      <c r="I52" s="15">
        <v>35</v>
      </c>
      <c r="J52" s="13" t="s">
        <v>416</v>
      </c>
      <c r="K52" s="14" t="s">
        <v>417</v>
      </c>
    </row>
    <row r="53" spans="1:11" ht="25.5" x14ac:dyDescent="0.25">
      <c r="A53" s="13" t="s">
        <v>132</v>
      </c>
      <c r="B53" s="13" t="s">
        <v>19</v>
      </c>
      <c r="C53" s="13" t="s">
        <v>397</v>
      </c>
      <c r="D53" s="13" t="s">
        <v>398</v>
      </c>
      <c r="E53" s="13" t="s">
        <v>50</v>
      </c>
      <c r="F53" s="13" t="s">
        <v>50</v>
      </c>
      <c r="G53" s="13" t="s">
        <v>50</v>
      </c>
      <c r="H53" s="14" t="s">
        <v>399</v>
      </c>
      <c r="I53" s="15">
        <v>40</v>
      </c>
      <c r="J53" s="13" t="s">
        <v>136</v>
      </c>
      <c r="K53" s="14" t="s">
        <v>400</v>
      </c>
    </row>
    <row r="54" spans="1:11" ht="25.5" x14ac:dyDescent="0.25">
      <c r="A54" s="10" t="s">
        <v>132</v>
      </c>
      <c r="B54" s="10" t="s">
        <v>19</v>
      </c>
      <c r="C54" s="10" t="s">
        <v>401</v>
      </c>
      <c r="D54" s="10" t="s">
        <v>402</v>
      </c>
      <c r="E54" s="10" t="s">
        <v>50</v>
      </c>
      <c r="F54" s="10" t="s">
        <v>50</v>
      </c>
      <c r="G54" s="10" t="s">
        <v>50</v>
      </c>
      <c r="H54" s="11" t="s">
        <v>403</v>
      </c>
      <c r="I54" s="12">
        <v>40</v>
      </c>
      <c r="J54" s="10" t="s">
        <v>136</v>
      </c>
      <c r="K54" s="11" t="s">
        <v>404</v>
      </c>
    </row>
    <row r="55" spans="1:11" ht="51" x14ac:dyDescent="0.25">
      <c r="A55" s="10" t="s">
        <v>132</v>
      </c>
      <c r="B55" s="10" t="s">
        <v>20</v>
      </c>
      <c r="C55" s="10" t="s">
        <v>418</v>
      </c>
      <c r="D55" s="10" t="s">
        <v>419</v>
      </c>
      <c r="E55" s="10" t="s">
        <v>420</v>
      </c>
      <c r="F55" s="10" t="s">
        <v>50</v>
      </c>
      <c r="G55" s="10" t="s">
        <v>50</v>
      </c>
      <c r="H55" s="11" t="s">
        <v>421</v>
      </c>
      <c r="I55" s="12">
        <v>40</v>
      </c>
      <c r="J55" s="10" t="s">
        <v>52</v>
      </c>
      <c r="K55" s="11" t="s">
        <v>422</v>
      </c>
    </row>
    <row r="56" spans="1:11" ht="38.25" x14ac:dyDescent="0.25">
      <c r="A56" s="10" t="s">
        <v>47</v>
      </c>
      <c r="B56" s="10" t="s">
        <v>13</v>
      </c>
      <c r="C56" s="10" t="s">
        <v>106</v>
      </c>
      <c r="D56" s="10" t="s">
        <v>107</v>
      </c>
      <c r="E56" s="10" t="s">
        <v>50</v>
      </c>
      <c r="F56" s="10" t="s">
        <v>50</v>
      </c>
      <c r="G56" s="10" t="s">
        <v>50</v>
      </c>
      <c r="H56" s="11" t="s">
        <v>108</v>
      </c>
      <c r="I56" s="12">
        <v>50</v>
      </c>
      <c r="J56" s="10" t="s">
        <v>52</v>
      </c>
      <c r="K56" s="11" t="s">
        <v>109</v>
      </c>
    </row>
    <row r="57" spans="1:11" ht="25.5" x14ac:dyDescent="0.25">
      <c r="A57" s="10" t="s">
        <v>132</v>
      </c>
      <c r="B57" s="10" t="s">
        <v>14</v>
      </c>
      <c r="C57" s="10" t="s">
        <v>133</v>
      </c>
      <c r="D57" s="10" t="s">
        <v>134</v>
      </c>
      <c r="E57" s="10" t="s">
        <v>50</v>
      </c>
      <c r="F57" s="10" t="s">
        <v>50</v>
      </c>
      <c r="G57" s="10" t="s">
        <v>50</v>
      </c>
      <c r="H57" s="11" t="s">
        <v>135</v>
      </c>
      <c r="I57" s="12">
        <v>50</v>
      </c>
      <c r="J57" s="10" t="s">
        <v>136</v>
      </c>
      <c r="K57" s="11" t="s">
        <v>137</v>
      </c>
    </row>
    <row r="58" spans="1:11" x14ac:dyDescent="0.25">
      <c r="A58" s="13" t="s">
        <v>132</v>
      </c>
      <c r="B58" s="13" t="s">
        <v>14</v>
      </c>
      <c r="C58" s="13" t="s">
        <v>155</v>
      </c>
      <c r="D58" s="13" t="s">
        <v>156</v>
      </c>
      <c r="E58" s="13" t="s">
        <v>50</v>
      </c>
      <c r="F58" s="13" t="s">
        <v>50</v>
      </c>
      <c r="G58" s="13" t="s">
        <v>50</v>
      </c>
      <c r="H58" s="14" t="s">
        <v>157</v>
      </c>
      <c r="I58" s="15">
        <v>50</v>
      </c>
      <c r="J58" s="13" t="s">
        <v>136</v>
      </c>
      <c r="K58" s="14" t="s">
        <v>158</v>
      </c>
    </row>
    <row r="59" spans="1:11" ht="25.5" x14ac:dyDescent="0.25">
      <c r="A59" s="10" t="s">
        <v>132</v>
      </c>
      <c r="B59" s="10" t="s">
        <v>14</v>
      </c>
      <c r="C59" s="10" t="s">
        <v>167</v>
      </c>
      <c r="D59" s="10" t="s">
        <v>168</v>
      </c>
      <c r="E59" s="10" t="s">
        <v>50</v>
      </c>
      <c r="F59" s="10" t="s">
        <v>50</v>
      </c>
      <c r="G59" s="10" t="s">
        <v>50</v>
      </c>
      <c r="H59" s="11" t="s">
        <v>169</v>
      </c>
      <c r="I59" s="12">
        <v>50</v>
      </c>
      <c r="J59" s="10" t="s">
        <v>136</v>
      </c>
      <c r="K59" s="11" t="s">
        <v>170</v>
      </c>
    </row>
    <row r="60" spans="1:11" x14ac:dyDescent="0.25">
      <c r="A60" s="13" t="s">
        <v>132</v>
      </c>
      <c r="B60" s="13" t="s">
        <v>14</v>
      </c>
      <c r="C60" s="13" t="s">
        <v>171</v>
      </c>
      <c r="D60" s="13" t="s">
        <v>172</v>
      </c>
      <c r="E60" s="13" t="s">
        <v>50</v>
      </c>
      <c r="F60" s="13" t="s">
        <v>50</v>
      </c>
      <c r="G60" s="13" t="s">
        <v>50</v>
      </c>
      <c r="H60" s="14" t="s">
        <v>173</v>
      </c>
      <c r="I60" s="15">
        <v>50</v>
      </c>
      <c r="J60" s="13" t="s">
        <v>136</v>
      </c>
      <c r="K60" s="14" t="s">
        <v>174</v>
      </c>
    </row>
    <row r="61" spans="1:11" x14ac:dyDescent="0.25">
      <c r="A61" s="10" t="s">
        <v>132</v>
      </c>
      <c r="B61" s="10" t="s">
        <v>14</v>
      </c>
      <c r="C61" s="10" t="s">
        <v>175</v>
      </c>
      <c r="D61" s="10" t="s">
        <v>176</v>
      </c>
      <c r="E61" s="10" t="s">
        <v>50</v>
      </c>
      <c r="F61" s="10" t="s">
        <v>50</v>
      </c>
      <c r="G61" s="10" t="s">
        <v>50</v>
      </c>
      <c r="H61" s="11" t="s">
        <v>173</v>
      </c>
      <c r="I61" s="12">
        <v>50</v>
      </c>
      <c r="J61" s="10" t="s">
        <v>136</v>
      </c>
      <c r="K61" s="11" t="s">
        <v>174</v>
      </c>
    </row>
    <row r="62" spans="1:11" x14ac:dyDescent="0.25">
      <c r="A62" s="13" t="s">
        <v>132</v>
      </c>
      <c r="B62" s="13" t="s">
        <v>14</v>
      </c>
      <c r="C62" s="13" t="s">
        <v>186</v>
      </c>
      <c r="D62" s="13" t="s">
        <v>187</v>
      </c>
      <c r="E62" s="13" t="s">
        <v>50</v>
      </c>
      <c r="F62" s="13" t="s">
        <v>50</v>
      </c>
      <c r="G62" s="13" t="s">
        <v>50</v>
      </c>
      <c r="H62" s="14" t="s">
        <v>173</v>
      </c>
      <c r="I62" s="15">
        <v>50</v>
      </c>
      <c r="J62" s="13" t="s">
        <v>136</v>
      </c>
      <c r="K62" s="14" t="s">
        <v>158</v>
      </c>
    </row>
    <row r="63" spans="1:11" ht="38.25" x14ac:dyDescent="0.25">
      <c r="A63" s="13" t="s">
        <v>47</v>
      </c>
      <c r="B63" s="13" t="s">
        <v>13</v>
      </c>
      <c r="C63" s="13" t="s">
        <v>110</v>
      </c>
      <c r="D63" s="13" t="s">
        <v>111</v>
      </c>
      <c r="E63" s="13" t="s">
        <v>50</v>
      </c>
      <c r="F63" s="13" t="s">
        <v>50</v>
      </c>
      <c r="G63" s="13" t="s">
        <v>50</v>
      </c>
      <c r="H63" s="14" t="s">
        <v>112</v>
      </c>
      <c r="I63" s="15">
        <v>55</v>
      </c>
      <c r="J63" s="13" t="s">
        <v>52</v>
      </c>
      <c r="K63" s="14" t="s">
        <v>113</v>
      </c>
    </row>
    <row r="64" spans="1:11" ht="25.5" x14ac:dyDescent="0.25">
      <c r="A64" s="13" t="s">
        <v>132</v>
      </c>
      <c r="B64" s="13" t="s">
        <v>14</v>
      </c>
      <c r="C64" s="13" t="s">
        <v>194</v>
      </c>
      <c r="D64" s="13" t="s">
        <v>195</v>
      </c>
      <c r="E64" s="13" t="s">
        <v>190</v>
      </c>
      <c r="F64" s="13" t="s">
        <v>50</v>
      </c>
      <c r="G64" s="13" t="s">
        <v>50</v>
      </c>
      <c r="H64" s="14" t="s">
        <v>196</v>
      </c>
      <c r="I64" s="15">
        <v>55</v>
      </c>
      <c r="J64" s="13" t="s">
        <v>192</v>
      </c>
      <c r="K64" s="14" t="s">
        <v>197</v>
      </c>
    </row>
    <row r="65" spans="1:11" x14ac:dyDescent="0.25">
      <c r="A65" s="10" t="s">
        <v>132</v>
      </c>
      <c r="B65" s="10" t="s">
        <v>14</v>
      </c>
      <c r="C65" s="10" t="s">
        <v>198</v>
      </c>
      <c r="D65" s="10" t="s">
        <v>199</v>
      </c>
      <c r="E65" s="10" t="s">
        <v>190</v>
      </c>
      <c r="F65" s="10" t="s">
        <v>50</v>
      </c>
      <c r="G65" s="10" t="s">
        <v>50</v>
      </c>
      <c r="H65" s="11" t="s">
        <v>200</v>
      </c>
      <c r="I65" s="12">
        <v>55</v>
      </c>
      <c r="J65" s="10" t="s">
        <v>192</v>
      </c>
      <c r="K65" s="11" t="s">
        <v>201</v>
      </c>
    </row>
    <row r="66" spans="1:11" ht="38.25" x14ac:dyDescent="0.25">
      <c r="A66" s="10" t="s">
        <v>132</v>
      </c>
      <c r="B66" s="10" t="s">
        <v>18</v>
      </c>
      <c r="C66" s="10" t="s">
        <v>385</v>
      </c>
      <c r="D66" s="10" t="s">
        <v>386</v>
      </c>
      <c r="E66" s="10" t="s">
        <v>50</v>
      </c>
      <c r="F66" s="10" t="s">
        <v>50</v>
      </c>
      <c r="G66" s="10" t="s">
        <v>50</v>
      </c>
      <c r="H66" s="11" t="s">
        <v>387</v>
      </c>
      <c r="I66" s="12">
        <v>55</v>
      </c>
      <c r="J66" s="10" t="s">
        <v>52</v>
      </c>
      <c r="K66" s="11" t="s">
        <v>388</v>
      </c>
    </row>
    <row r="67" spans="1:11" ht="51" x14ac:dyDescent="0.25">
      <c r="A67" s="10" t="s">
        <v>132</v>
      </c>
      <c r="B67" s="10" t="s">
        <v>14</v>
      </c>
      <c r="C67" s="10" t="s">
        <v>188</v>
      </c>
      <c r="D67" s="10" t="s">
        <v>189</v>
      </c>
      <c r="E67" s="10" t="s">
        <v>190</v>
      </c>
      <c r="F67" s="10" t="s">
        <v>50</v>
      </c>
      <c r="G67" s="10" t="s">
        <v>50</v>
      </c>
      <c r="H67" s="11" t="s">
        <v>191</v>
      </c>
      <c r="I67" s="12">
        <v>60</v>
      </c>
      <c r="J67" s="10" t="s">
        <v>192</v>
      </c>
      <c r="K67" s="11" t="s">
        <v>193</v>
      </c>
    </row>
    <row r="68" spans="1:11" ht="38.25" x14ac:dyDescent="0.25">
      <c r="A68" s="13" t="s">
        <v>47</v>
      </c>
      <c r="B68" s="13" t="s">
        <v>12</v>
      </c>
      <c r="C68" s="13" t="s">
        <v>77</v>
      </c>
      <c r="D68" s="13" t="s">
        <v>78</v>
      </c>
      <c r="E68" s="13" t="s">
        <v>50</v>
      </c>
      <c r="F68" s="13" t="s">
        <v>50</v>
      </c>
      <c r="G68" s="13" t="s">
        <v>50</v>
      </c>
      <c r="H68" s="14" t="s">
        <v>79</v>
      </c>
      <c r="I68" s="15">
        <v>65</v>
      </c>
      <c r="J68" s="13" t="s">
        <v>52</v>
      </c>
      <c r="K68" s="14" t="s">
        <v>80</v>
      </c>
    </row>
    <row r="69" spans="1:11" ht="25.5" x14ac:dyDescent="0.25">
      <c r="A69" s="13" t="s">
        <v>132</v>
      </c>
      <c r="B69" s="13" t="s">
        <v>14</v>
      </c>
      <c r="C69" s="13" t="s">
        <v>177</v>
      </c>
      <c r="D69" s="13" t="s">
        <v>178</v>
      </c>
      <c r="E69" s="13" t="s">
        <v>50</v>
      </c>
      <c r="F69" s="13" t="s">
        <v>50</v>
      </c>
      <c r="G69" s="13" t="s">
        <v>50</v>
      </c>
      <c r="H69" s="14" t="s">
        <v>179</v>
      </c>
      <c r="I69" s="15">
        <v>65</v>
      </c>
      <c r="J69" s="13" t="s">
        <v>180</v>
      </c>
      <c r="K69" s="14" t="s">
        <v>181</v>
      </c>
    </row>
    <row r="70" spans="1:11" ht="63.75" x14ac:dyDescent="0.25">
      <c r="A70" s="10" t="s">
        <v>132</v>
      </c>
      <c r="B70" s="10" t="s">
        <v>15</v>
      </c>
      <c r="C70" s="10" t="s">
        <v>207</v>
      </c>
      <c r="D70" s="10" t="s">
        <v>208</v>
      </c>
      <c r="E70" s="10" t="s">
        <v>209</v>
      </c>
      <c r="F70" s="10" t="s">
        <v>50</v>
      </c>
      <c r="G70" s="10" t="s">
        <v>50</v>
      </c>
      <c r="H70" s="11" t="s">
        <v>210</v>
      </c>
      <c r="I70" s="12">
        <v>70</v>
      </c>
      <c r="J70" s="10" t="s">
        <v>192</v>
      </c>
      <c r="K70" s="11" t="s">
        <v>211</v>
      </c>
    </row>
    <row r="71" spans="1:11" ht="76.5" x14ac:dyDescent="0.25">
      <c r="A71" s="10" t="s">
        <v>47</v>
      </c>
      <c r="B71" s="10" t="s">
        <v>13</v>
      </c>
      <c r="C71" s="10" t="s">
        <v>90</v>
      </c>
      <c r="D71" s="10" t="s">
        <v>91</v>
      </c>
      <c r="E71" s="10" t="s">
        <v>50</v>
      </c>
      <c r="F71" s="10" t="s">
        <v>50</v>
      </c>
      <c r="G71" s="10" t="s">
        <v>50</v>
      </c>
      <c r="H71" s="11" t="s">
        <v>92</v>
      </c>
      <c r="I71" s="12">
        <v>75</v>
      </c>
      <c r="J71" s="10" t="s">
        <v>52</v>
      </c>
      <c r="K71" s="11" t="s">
        <v>93</v>
      </c>
    </row>
    <row r="72" spans="1:11" ht="63.75" x14ac:dyDescent="0.25">
      <c r="A72" s="10" t="s">
        <v>47</v>
      </c>
      <c r="B72" s="10" t="s">
        <v>12</v>
      </c>
      <c r="C72" s="10" t="s">
        <v>48</v>
      </c>
      <c r="D72" s="10" t="s">
        <v>49</v>
      </c>
      <c r="E72" s="10" t="s">
        <v>50</v>
      </c>
      <c r="F72" s="10" t="s">
        <v>50</v>
      </c>
      <c r="G72" s="10" t="s">
        <v>50</v>
      </c>
      <c r="H72" s="11" t="s">
        <v>51</v>
      </c>
      <c r="I72" s="12">
        <v>80</v>
      </c>
      <c r="J72" s="10" t="s">
        <v>52</v>
      </c>
      <c r="K72" s="11" t="s">
        <v>53</v>
      </c>
    </row>
    <row r="73" spans="1:11" ht="25.5" x14ac:dyDescent="0.25">
      <c r="A73" s="13" t="s">
        <v>47</v>
      </c>
      <c r="B73" s="13" t="s">
        <v>12</v>
      </c>
      <c r="C73" s="13" t="s">
        <v>69</v>
      </c>
      <c r="D73" s="13" t="s">
        <v>70</v>
      </c>
      <c r="E73" s="13" t="s">
        <v>50</v>
      </c>
      <c r="F73" s="13" t="s">
        <v>50</v>
      </c>
      <c r="G73" s="13" t="s">
        <v>50</v>
      </c>
      <c r="H73" s="14" t="s">
        <v>71</v>
      </c>
      <c r="I73" s="15">
        <v>80</v>
      </c>
      <c r="J73" s="13" t="s">
        <v>52</v>
      </c>
      <c r="K73" s="14" t="s">
        <v>72</v>
      </c>
    </row>
    <row r="74" spans="1:11" ht="25.5" x14ac:dyDescent="0.25">
      <c r="A74" s="13" t="s">
        <v>132</v>
      </c>
      <c r="B74" s="13" t="s">
        <v>16</v>
      </c>
      <c r="C74" s="13" t="s">
        <v>303</v>
      </c>
      <c r="D74" s="13" t="s">
        <v>304</v>
      </c>
      <c r="E74" s="13" t="s">
        <v>305</v>
      </c>
      <c r="F74" s="13" t="s">
        <v>50</v>
      </c>
      <c r="G74" s="13" t="s">
        <v>50</v>
      </c>
      <c r="H74" s="14" t="s">
        <v>227</v>
      </c>
      <c r="I74" s="15">
        <v>80</v>
      </c>
      <c r="J74" s="13" t="s">
        <v>62</v>
      </c>
      <c r="K74" s="14" t="s">
        <v>306</v>
      </c>
    </row>
    <row r="75" spans="1:11" x14ac:dyDescent="0.25">
      <c r="A75" s="10" t="s">
        <v>132</v>
      </c>
      <c r="B75" s="10" t="s">
        <v>16</v>
      </c>
      <c r="C75" s="10" t="s">
        <v>307</v>
      </c>
      <c r="D75" s="10" t="s">
        <v>308</v>
      </c>
      <c r="E75" s="10" t="s">
        <v>305</v>
      </c>
      <c r="F75" s="10" t="s">
        <v>50</v>
      </c>
      <c r="G75" s="10" t="s">
        <v>50</v>
      </c>
      <c r="H75" s="11" t="s">
        <v>227</v>
      </c>
      <c r="I75" s="12">
        <v>80</v>
      </c>
      <c r="J75" s="10" t="s">
        <v>62</v>
      </c>
      <c r="K75" s="11" t="s">
        <v>174</v>
      </c>
    </row>
    <row r="76" spans="1:11" ht="25.5" x14ac:dyDescent="0.25">
      <c r="A76" s="13" t="s">
        <v>430</v>
      </c>
      <c r="B76" s="13" t="s">
        <v>23</v>
      </c>
      <c r="C76" s="13" t="s">
        <v>440</v>
      </c>
      <c r="D76" s="13" t="s">
        <v>441</v>
      </c>
      <c r="E76" s="13" t="s">
        <v>50</v>
      </c>
      <c r="F76" s="13" t="s">
        <v>50</v>
      </c>
      <c r="G76" s="13" t="s">
        <v>50</v>
      </c>
      <c r="H76" s="14" t="s">
        <v>442</v>
      </c>
      <c r="I76" s="15">
        <v>80</v>
      </c>
      <c r="J76" s="13" t="s">
        <v>443</v>
      </c>
      <c r="K76" s="14" t="s">
        <v>444</v>
      </c>
    </row>
    <row r="77" spans="1:11" x14ac:dyDescent="0.25">
      <c r="A77" s="10" t="s">
        <v>430</v>
      </c>
      <c r="B77" s="10" t="s">
        <v>23</v>
      </c>
      <c r="C77" s="10" t="s">
        <v>445</v>
      </c>
      <c r="D77" s="10" t="s">
        <v>446</v>
      </c>
      <c r="E77" s="10" t="s">
        <v>50</v>
      </c>
      <c r="F77" s="10" t="s">
        <v>50</v>
      </c>
      <c r="G77" s="10" t="s">
        <v>50</v>
      </c>
      <c r="H77" s="11" t="s">
        <v>447</v>
      </c>
      <c r="I77" s="12">
        <v>80</v>
      </c>
      <c r="J77" s="10" t="s">
        <v>443</v>
      </c>
      <c r="K77" s="11"/>
    </row>
    <row r="78" spans="1:11" x14ac:dyDescent="0.25">
      <c r="A78" s="13" t="s">
        <v>430</v>
      </c>
      <c r="B78" s="13" t="s">
        <v>23</v>
      </c>
      <c r="C78" s="13" t="s">
        <v>448</v>
      </c>
      <c r="D78" s="13" t="s">
        <v>449</v>
      </c>
      <c r="E78" s="13" t="s">
        <v>50</v>
      </c>
      <c r="F78" s="13" t="s">
        <v>50</v>
      </c>
      <c r="G78" s="13" t="s">
        <v>50</v>
      </c>
      <c r="H78" s="14" t="s">
        <v>447</v>
      </c>
      <c r="I78" s="15">
        <v>80</v>
      </c>
      <c r="J78" s="13" t="s">
        <v>443</v>
      </c>
      <c r="K78" s="14"/>
    </row>
    <row r="79" spans="1:11" ht="51" x14ac:dyDescent="0.25">
      <c r="A79" s="10" t="s">
        <v>47</v>
      </c>
      <c r="B79" s="10" t="s">
        <v>12</v>
      </c>
      <c r="C79" s="10" t="s">
        <v>73</v>
      </c>
      <c r="D79" s="10" t="s">
        <v>74</v>
      </c>
      <c r="E79" s="10" t="s">
        <v>50</v>
      </c>
      <c r="F79" s="10" t="s">
        <v>50</v>
      </c>
      <c r="G79" s="10" t="s">
        <v>50</v>
      </c>
      <c r="H79" s="11" t="s">
        <v>75</v>
      </c>
      <c r="I79" s="12">
        <v>85</v>
      </c>
      <c r="J79" s="10" t="s">
        <v>62</v>
      </c>
      <c r="K79" s="11" t="s">
        <v>76</v>
      </c>
    </row>
    <row r="80" spans="1:11" x14ac:dyDescent="0.25">
      <c r="A80" s="13" t="s">
        <v>132</v>
      </c>
      <c r="B80" s="13" t="s">
        <v>16</v>
      </c>
      <c r="C80" s="13" t="s">
        <v>225</v>
      </c>
      <c r="D80" s="13" t="s">
        <v>226</v>
      </c>
      <c r="E80" s="13" t="s">
        <v>50</v>
      </c>
      <c r="F80" s="13" t="s">
        <v>50</v>
      </c>
      <c r="G80" s="13" t="s">
        <v>50</v>
      </c>
      <c r="H80" s="14" t="s">
        <v>227</v>
      </c>
      <c r="I80" s="15">
        <v>85</v>
      </c>
      <c r="J80" s="13" t="s">
        <v>62</v>
      </c>
      <c r="K80" s="14"/>
    </row>
    <row r="81" spans="1:11" x14ac:dyDescent="0.25">
      <c r="A81" s="10" t="s">
        <v>132</v>
      </c>
      <c r="B81" s="10" t="s">
        <v>16</v>
      </c>
      <c r="C81" s="10" t="s">
        <v>239</v>
      </c>
      <c r="D81" s="10" t="s">
        <v>240</v>
      </c>
      <c r="E81" s="10" t="s">
        <v>50</v>
      </c>
      <c r="F81" s="10" t="s">
        <v>50</v>
      </c>
      <c r="G81" s="10" t="s">
        <v>50</v>
      </c>
      <c r="H81" s="11" t="s">
        <v>227</v>
      </c>
      <c r="I81" s="12">
        <v>85</v>
      </c>
      <c r="J81" s="10" t="s">
        <v>62</v>
      </c>
      <c r="K81" s="11"/>
    </row>
    <row r="82" spans="1:11" x14ac:dyDescent="0.25">
      <c r="A82" s="13" t="s">
        <v>132</v>
      </c>
      <c r="B82" s="13" t="s">
        <v>16</v>
      </c>
      <c r="C82" s="13" t="s">
        <v>265</v>
      </c>
      <c r="D82" s="13" t="s">
        <v>266</v>
      </c>
      <c r="E82" s="13" t="s">
        <v>50</v>
      </c>
      <c r="F82" s="13" t="s">
        <v>50</v>
      </c>
      <c r="G82" s="13" t="s">
        <v>50</v>
      </c>
      <c r="H82" s="14" t="s">
        <v>227</v>
      </c>
      <c r="I82" s="15">
        <v>85</v>
      </c>
      <c r="J82" s="13" t="s">
        <v>62</v>
      </c>
      <c r="K82" s="14"/>
    </row>
    <row r="83" spans="1:11" x14ac:dyDescent="0.25">
      <c r="A83" s="13" t="s">
        <v>132</v>
      </c>
      <c r="B83" s="13" t="s">
        <v>16</v>
      </c>
      <c r="C83" s="13" t="s">
        <v>270</v>
      </c>
      <c r="D83" s="13" t="s">
        <v>271</v>
      </c>
      <c r="E83" s="13" t="s">
        <v>50</v>
      </c>
      <c r="F83" s="13" t="s">
        <v>50</v>
      </c>
      <c r="G83" s="13" t="s">
        <v>50</v>
      </c>
      <c r="H83" s="14" t="s">
        <v>227</v>
      </c>
      <c r="I83" s="15">
        <v>85</v>
      </c>
      <c r="J83" s="13" t="s">
        <v>62</v>
      </c>
      <c r="K83" s="14"/>
    </row>
    <row r="84" spans="1:11" x14ac:dyDescent="0.25">
      <c r="A84" s="10" t="s">
        <v>132</v>
      </c>
      <c r="B84" s="10" t="s">
        <v>16</v>
      </c>
      <c r="C84" s="10" t="s">
        <v>272</v>
      </c>
      <c r="D84" s="10" t="s">
        <v>273</v>
      </c>
      <c r="E84" s="10" t="s">
        <v>50</v>
      </c>
      <c r="F84" s="10" t="s">
        <v>50</v>
      </c>
      <c r="G84" s="10" t="s">
        <v>50</v>
      </c>
      <c r="H84" s="11" t="s">
        <v>227</v>
      </c>
      <c r="I84" s="12">
        <v>85</v>
      </c>
      <c r="J84" s="10" t="s">
        <v>62</v>
      </c>
      <c r="K84" s="11"/>
    </row>
    <row r="85" spans="1:11" x14ac:dyDescent="0.25">
      <c r="A85" s="10" t="s">
        <v>132</v>
      </c>
      <c r="B85" s="10" t="s">
        <v>16</v>
      </c>
      <c r="C85" s="10" t="s">
        <v>276</v>
      </c>
      <c r="D85" s="10" t="s">
        <v>277</v>
      </c>
      <c r="E85" s="10" t="s">
        <v>50</v>
      </c>
      <c r="F85" s="10" t="s">
        <v>50</v>
      </c>
      <c r="G85" s="10" t="s">
        <v>50</v>
      </c>
      <c r="H85" s="11" t="s">
        <v>227</v>
      </c>
      <c r="I85" s="12">
        <v>85</v>
      </c>
      <c r="J85" s="10" t="s">
        <v>62</v>
      </c>
      <c r="K85" s="11"/>
    </row>
    <row r="86" spans="1:11" x14ac:dyDescent="0.25">
      <c r="A86" s="13" t="s">
        <v>132</v>
      </c>
      <c r="B86" s="13" t="s">
        <v>16</v>
      </c>
      <c r="C86" s="13" t="s">
        <v>278</v>
      </c>
      <c r="D86" s="13" t="s">
        <v>279</v>
      </c>
      <c r="E86" s="13" t="s">
        <v>50</v>
      </c>
      <c r="F86" s="13" t="s">
        <v>50</v>
      </c>
      <c r="G86" s="13" t="s">
        <v>50</v>
      </c>
      <c r="H86" s="14" t="s">
        <v>227</v>
      </c>
      <c r="I86" s="15">
        <v>85</v>
      </c>
      <c r="J86" s="13" t="s">
        <v>62</v>
      </c>
      <c r="K86" s="14"/>
    </row>
    <row r="87" spans="1:11" x14ac:dyDescent="0.25">
      <c r="A87" s="10" t="s">
        <v>132</v>
      </c>
      <c r="B87" s="10" t="s">
        <v>16</v>
      </c>
      <c r="C87" s="10" t="s">
        <v>280</v>
      </c>
      <c r="D87" s="10" t="s">
        <v>281</v>
      </c>
      <c r="E87" s="10" t="s">
        <v>50</v>
      </c>
      <c r="F87" s="10" t="s">
        <v>50</v>
      </c>
      <c r="G87" s="10" t="s">
        <v>50</v>
      </c>
      <c r="H87" s="11" t="s">
        <v>227</v>
      </c>
      <c r="I87" s="12">
        <v>85</v>
      </c>
      <c r="J87" s="10" t="s">
        <v>62</v>
      </c>
      <c r="K87" s="11"/>
    </row>
    <row r="88" spans="1:11" x14ac:dyDescent="0.25">
      <c r="A88" s="10" t="s">
        <v>132</v>
      </c>
      <c r="B88" s="10" t="s">
        <v>16</v>
      </c>
      <c r="C88" s="10" t="s">
        <v>284</v>
      </c>
      <c r="D88" s="10" t="s">
        <v>285</v>
      </c>
      <c r="E88" s="10" t="s">
        <v>50</v>
      </c>
      <c r="F88" s="10" t="s">
        <v>50</v>
      </c>
      <c r="G88" s="10" t="s">
        <v>50</v>
      </c>
      <c r="H88" s="11" t="s">
        <v>286</v>
      </c>
      <c r="I88" s="12">
        <v>85</v>
      </c>
      <c r="J88" s="10" t="s">
        <v>62</v>
      </c>
      <c r="K88" s="11"/>
    </row>
    <row r="89" spans="1:11" x14ac:dyDescent="0.25">
      <c r="A89" s="10" t="s">
        <v>132</v>
      </c>
      <c r="B89" s="10" t="s">
        <v>16</v>
      </c>
      <c r="C89" s="10" t="s">
        <v>341</v>
      </c>
      <c r="D89" s="10" t="s">
        <v>342</v>
      </c>
      <c r="E89" s="10" t="s">
        <v>50</v>
      </c>
      <c r="F89" s="10" t="s">
        <v>50</v>
      </c>
      <c r="G89" s="10" t="s">
        <v>50</v>
      </c>
      <c r="H89" s="11" t="s">
        <v>227</v>
      </c>
      <c r="I89" s="12">
        <v>85</v>
      </c>
      <c r="J89" s="10" t="s">
        <v>62</v>
      </c>
      <c r="K89" s="11"/>
    </row>
    <row r="90" spans="1:11" ht="25.5" x14ac:dyDescent="0.25">
      <c r="A90" s="13" t="s">
        <v>132</v>
      </c>
      <c r="B90" s="13" t="s">
        <v>14</v>
      </c>
      <c r="C90" s="13" t="s">
        <v>138</v>
      </c>
      <c r="D90" s="13" t="s">
        <v>139</v>
      </c>
      <c r="E90" s="13" t="s">
        <v>50</v>
      </c>
      <c r="F90" s="13" t="s">
        <v>50</v>
      </c>
      <c r="G90" s="13" t="s">
        <v>50</v>
      </c>
      <c r="H90" s="14" t="s">
        <v>140</v>
      </c>
      <c r="I90" s="15">
        <v>90</v>
      </c>
      <c r="J90" s="13" t="s">
        <v>62</v>
      </c>
      <c r="K90" s="14" t="s">
        <v>141</v>
      </c>
    </row>
    <row r="91" spans="1:11" ht="38.25" x14ac:dyDescent="0.25">
      <c r="A91" s="10" t="s">
        <v>132</v>
      </c>
      <c r="B91" s="10" t="s">
        <v>14</v>
      </c>
      <c r="C91" s="10" t="s">
        <v>159</v>
      </c>
      <c r="D91" s="10" t="s">
        <v>160</v>
      </c>
      <c r="E91" s="10" t="s">
        <v>50</v>
      </c>
      <c r="F91" s="10" t="s">
        <v>50</v>
      </c>
      <c r="G91" s="10" t="s">
        <v>50</v>
      </c>
      <c r="H91" s="11" t="s">
        <v>161</v>
      </c>
      <c r="I91" s="12">
        <v>90</v>
      </c>
      <c r="J91" s="10" t="s">
        <v>62</v>
      </c>
      <c r="K91" s="11" t="s">
        <v>162</v>
      </c>
    </row>
    <row r="92" spans="1:11" x14ac:dyDescent="0.25">
      <c r="A92" s="10" t="s">
        <v>132</v>
      </c>
      <c r="B92" s="10" t="s">
        <v>14</v>
      </c>
      <c r="C92" s="10" t="s">
        <v>182</v>
      </c>
      <c r="D92" s="10" t="s">
        <v>183</v>
      </c>
      <c r="E92" s="10" t="s">
        <v>50</v>
      </c>
      <c r="F92" s="10" t="s">
        <v>50</v>
      </c>
      <c r="G92" s="10" t="s">
        <v>50</v>
      </c>
      <c r="H92" s="11" t="s">
        <v>184</v>
      </c>
      <c r="I92" s="12">
        <v>90</v>
      </c>
      <c r="J92" s="10" t="s">
        <v>62</v>
      </c>
      <c r="K92" s="11" t="s">
        <v>185</v>
      </c>
    </row>
    <row r="93" spans="1:11" x14ac:dyDescent="0.25">
      <c r="A93" s="13" t="s">
        <v>132</v>
      </c>
      <c r="B93" s="13" t="s">
        <v>16</v>
      </c>
      <c r="C93" s="13" t="s">
        <v>212</v>
      </c>
      <c r="D93" s="13" t="s">
        <v>213</v>
      </c>
      <c r="E93" s="13" t="s">
        <v>50</v>
      </c>
      <c r="F93" s="13" t="s">
        <v>50</v>
      </c>
      <c r="G93" s="13" t="s">
        <v>50</v>
      </c>
      <c r="H93" s="14" t="s">
        <v>214</v>
      </c>
      <c r="I93" s="15">
        <v>90</v>
      </c>
      <c r="J93" s="13" t="s">
        <v>62</v>
      </c>
      <c r="K93" s="14"/>
    </row>
    <row r="94" spans="1:11" x14ac:dyDescent="0.25">
      <c r="A94" s="13" t="s">
        <v>132</v>
      </c>
      <c r="B94" s="13" t="s">
        <v>16</v>
      </c>
      <c r="C94" s="13" t="s">
        <v>220</v>
      </c>
      <c r="D94" s="13" t="s">
        <v>221</v>
      </c>
      <c r="E94" s="13" t="s">
        <v>50</v>
      </c>
      <c r="F94" s="13" t="s">
        <v>50</v>
      </c>
      <c r="G94" s="13" t="s">
        <v>50</v>
      </c>
      <c r="H94" s="14" t="s">
        <v>222</v>
      </c>
      <c r="I94" s="15">
        <v>90</v>
      </c>
      <c r="J94" s="13" t="s">
        <v>62</v>
      </c>
      <c r="K94" s="14"/>
    </row>
    <row r="95" spans="1:11" x14ac:dyDescent="0.25">
      <c r="A95" s="10" t="s">
        <v>132</v>
      </c>
      <c r="B95" s="10" t="s">
        <v>16</v>
      </c>
      <c r="C95" s="10" t="s">
        <v>223</v>
      </c>
      <c r="D95" s="10" t="s">
        <v>224</v>
      </c>
      <c r="E95" s="10" t="s">
        <v>50</v>
      </c>
      <c r="F95" s="10" t="s">
        <v>50</v>
      </c>
      <c r="G95" s="10" t="s">
        <v>50</v>
      </c>
      <c r="H95" s="11" t="s">
        <v>222</v>
      </c>
      <c r="I95" s="12">
        <v>90</v>
      </c>
      <c r="J95" s="10" t="s">
        <v>62</v>
      </c>
      <c r="K95" s="11"/>
    </row>
    <row r="96" spans="1:11" x14ac:dyDescent="0.25">
      <c r="A96" s="10" t="s">
        <v>132</v>
      </c>
      <c r="B96" s="10" t="s">
        <v>16</v>
      </c>
      <c r="C96" s="10" t="s">
        <v>228</v>
      </c>
      <c r="D96" s="10" t="s">
        <v>229</v>
      </c>
      <c r="E96" s="10" t="s">
        <v>50</v>
      </c>
      <c r="F96" s="10" t="s">
        <v>50</v>
      </c>
      <c r="G96" s="10" t="s">
        <v>50</v>
      </c>
      <c r="H96" s="11" t="s">
        <v>230</v>
      </c>
      <c r="I96" s="12">
        <v>90</v>
      </c>
      <c r="J96" s="10" t="s">
        <v>62</v>
      </c>
      <c r="K96" s="11"/>
    </row>
    <row r="97" spans="1:11" x14ac:dyDescent="0.25">
      <c r="A97" s="13" t="s">
        <v>132</v>
      </c>
      <c r="B97" s="13" t="s">
        <v>16</v>
      </c>
      <c r="C97" s="13" t="s">
        <v>231</v>
      </c>
      <c r="D97" s="13" t="s">
        <v>232</v>
      </c>
      <c r="E97" s="13" t="s">
        <v>50</v>
      </c>
      <c r="F97" s="13" t="s">
        <v>50</v>
      </c>
      <c r="G97" s="13" t="s">
        <v>50</v>
      </c>
      <c r="H97" s="14" t="s">
        <v>227</v>
      </c>
      <c r="I97" s="15">
        <v>90</v>
      </c>
      <c r="J97" s="13" t="s">
        <v>62</v>
      </c>
      <c r="K97" s="14"/>
    </row>
    <row r="98" spans="1:11" ht="25.5" x14ac:dyDescent="0.25">
      <c r="A98" s="13" t="s">
        <v>132</v>
      </c>
      <c r="B98" s="13" t="s">
        <v>16</v>
      </c>
      <c r="C98" s="13" t="s">
        <v>236</v>
      </c>
      <c r="D98" s="13" t="s">
        <v>237</v>
      </c>
      <c r="E98" s="13" t="s">
        <v>50</v>
      </c>
      <c r="F98" s="13" t="s">
        <v>50</v>
      </c>
      <c r="G98" s="13" t="s">
        <v>50</v>
      </c>
      <c r="H98" s="14" t="s">
        <v>238</v>
      </c>
      <c r="I98" s="15">
        <v>90</v>
      </c>
      <c r="J98" s="13" t="s">
        <v>62</v>
      </c>
      <c r="K98" s="14"/>
    </row>
    <row r="99" spans="1:11" x14ac:dyDescent="0.25">
      <c r="A99" s="13" t="s">
        <v>132</v>
      </c>
      <c r="B99" s="13" t="s">
        <v>16</v>
      </c>
      <c r="C99" s="13" t="s">
        <v>241</v>
      </c>
      <c r="D99" s="13" t="s">
        <v>242</v>
      </c>
      <c r="E99" s="13" t="s">
        <v>50</v>
      </c>
      <c r="F99" s="13" t="s">
        <v>50</v>
      </c>
      <c r="G99" s="13" t="s">
        <v>50</v>
      </c>
      <c r="H99" s="14" t="s">
        <v>227</v>
      </c>
      <c r="I99" s="15">
        <v>90</v>
      </c>
      <c r="J99" s="13" t="s">
        <v>62</v>
      </c>
      <c r="K99" s="14"/>
    </row>
    <row r="100" spans="1:11" x14ac:dyDescent="0.25">
      <c r="A100" s="10" t="s">
        <v>132</v>
      </c>
      <c r="B100" s="10" t="s">
        <v>16</v>
      </c>
      <c r="C100" s="10" t="s">
        <v>251</v>
      </c>
      <c r="D100" s="10" t="s">
        <v>252</v>
      </c>
      <c r="E100" s="10" t="s">
        <v>50</v>
      </c>
      <c r="F100" s="10" t="s">
        <v>50</v>
      </c>
      <c r="G100" s="10" t="s">
        <v>50</v>
      </c>
      <c r="H100" s="11" t="s">
        <v>227</v>
      </c>
      <c r="I100" s="12">
        <v>90</v>
      </c>
      <c r="J100" s="10" t="s">
        <v>62</v>
      </c>
      <c r="K100" s="11"/>
    </row>
    <row r="101" spans="1:11" x14ac:dyDescent="0.25">
      <c r="A101" s="13" t="s">
        <v>132</v>
      </c>
      <c r="B101" s="13" t="s">
        <v>16</v>
      </c>
      <c r="C101" s="13" t="s">
        <v>253</v>
      </c>
      <c r="D101" s="13" t="s">
        <v>254</v>
      </c>
      <c r="E101" s="13" t="s">
        <v>50</v>
      </c>
      <c r="F101" s="13" t="s">
        <v>50</v>
      </c>
      <c r="G101" s="13" t="s">
        <v>50</v>
      </c>
      <c r="H101" s="14" t="s">
        <v>227</v>
      </c>
      <c r="I101" s="15">
        <v>90</v>
      </c>
      <c r="J101" s="13" t="s">
        <v>62</v>
      </c>
      <c r="K101" s="14"/>
    </row>
    <row r="102" spans="1:11" x14ac:dyDescent="0.25">
      <c r="A102" s="10" t="s">
        <v>132</v>
      </c>
      <c r="B102" s="10" t="s">
        <v>16</v>
      </c>
      <c r="C102" s="10" t="s">
        <v>255</v>
      </c>
      <c r="D102" s="10" t="s">
        <v>256</v>
      </c>
      <c r="E102" s="10" t="s">
        <v>50</v>
      </c>
      <c r="F102" s="10" t="s">
        <v>50</v>
      </c>
      <c r="G102" s="10" t="s">
        <v>50</v>
      </c>
      <c r="H102" s="11" t="s">
        <v>227</v>
      </c>
      <c r="I102" s="12">
        <v>90</v>
      </c>
      <c r="J102" s="10" t="s">
        <v>62</v>
      </c>
      <c r="K102" s="11"/>
    </row>
    <row r="103" spans="1:11" x14ac:dyDescent="0.25">
      <c r="A103" s="13" t="s">
        <v>132</v>
      </c>
      <c r="B103" s="13" t="s">
        <v>16</v>
      </c>
      <c r="C103" s="13" t="s">
        <v>257</v>
      </c>
      <c r="D103" s="13" t="s">
        <v>258</v>
      </c>
      <c r="E103" s="13" t="s">
        <v>50</v>
      </c>
      <c r="F103" s="13" t="s">
        <v>50</v>
      </c>
      <c r="G103" s="13" t="s">
        <v>50</v>
      </c>
      <c r="H103" s="14" t="s">
        <v>227</v>
      </c>
      <c r="I103" s="15">
        <v>90</v>
      </c>
      <c r="J103" s="13" t="s">
        <v>62</v>
      </c>
      <c r="K103" s="14"/>
    </row>
    <row r="104" spans="1:11" x14ac:dyDescent="0.25">
      <c r="A104" s="10" t="s">
        <v>132</v>
      </c>
      <c r="B104" s="10" t="s">
        <v>16</v>
      </c>
      <c r="C104" s="10" t="s">
        <v>259</v>
      </c>
      <c r="D104" s="10" t="s">
        <v>260</v>
      </c>
      <c r="E104" s="10" t="s">
        <v>50</v>
      </c>
      <c r="F104" s="10" t="s">
        <v>50</v>
      </c>
      <c r="G104" s="10" t="s">
        <v>50</v>
      </c>
      <c r="H104" s="11" t="s">
        <v>227</v>
      </c>
      <c r="I104" s="12">
        <v>90</v>
      </c>
      <c r="J104" s="10" t="s">
        <v>62</v>
      </c>
      <c r="K104" s="11"/>
    </row>
    <row r="105" spans="1:11" x14ac:dyDescent="0.25">
      <c r="A105" s="13" t="s">
        <v>132</v>
      </c>
      <c r="B105" s="13" t="s">
        <v>16</v>
      </c>
      <c r="C105" s="13" t="s">
        <v>261</v>
      </c>
      <c r="D105" s="13" t="s">
        <v>262</v>
      </c>
      <c r="E105" s="13" t="s">
        <v>50</v>
      </c>
      <c r="F105" s="13" t="s">
        <v>50</v>
      </c>
      <c r="G105" s="13" t="s">
        <v>50</v>
      </c>
      <c r="H105" s="14" t="s">
        <v>227</v>
      </c>
      <c r="I105" s="15">
        <v>90</v>
      </c>
      <c r="J105" s="13" t="s">
        <v>62</v>
      </c>
      <c r="K105" s="14"/>
    </row>
    <row r="106" spans="1:11" x14ac:dyDescent="0.25">
      <c r="A106" s="10" t="s">
        <v>132</v>
      </c>
      <c r="B106" s="10" t="s">
        <v>16</v>
      </c>
      <c r="C106" s="10" t="s">
        <v>263</v>
      </c>
      <c r="D106" s="10" t="s">
        <v>264</v>
      </c>
      <c r="E106" s="10" t="s">
        <v>50</v>
      </c>
      <c r="F106" s="10" t="s">
        <v>50</v>
      </c>
      <c r="G106" s="10" t="s">
        <v>50</v>
      </c>
      <c r="H106" s="11" t="s">
        <v>227</v>
      </c>
      <c r="I106" s="12">
        <v>90</v>
      </c>
      <c r="J106" s="10" t="s">
        <v>62</v>
      </c>
      <c r="K106" s="11"/>
    </row>
    <row r="107" spans="1:11" x14ac:dyDescent="0.25">
      <c r="A107" s="10" t="s">
        <v>132</v>
      </c>
      <c r="B107" s="10" t="s">
        <v>16</v>
      </c>
      <c r="C107" s="10" t="s">
        <v>293</v>
      </c>
      <c r="D107" s="10" t="s">
        <v>294</v>
      </c>
      <c r="E107" s="10" t="s">
        <v>50</v>
      </c>
      <c r="F107" s="10" t="s">
        <v>50</v>
      </c>
      <c r="G107" s="10" t="s">
        <v>50</v>
      </c>
      <c r="H107" s="11" t="s">
        <v>227</v>
      </c>
      <c r="I107" s="12">
        <v>90</v>
      </c>
      <c r="J107" s="10" t="s">
        <v>62</v>
      </c>
      <c r="K107" s="11"/>
    </row>
    <row r="108" spans="1:11" ht="25.5" x14ac:dyDescent="0.25">
      <c r="A108" s="13" t="s">
        <v>132</v>
      </c>
      <c r="B108" s="13" t="s">
        <v>16</v>
      </c>
      <c r="C108" s="13" t="s">
        <v>309</v>
      </c>
      <c r="D108" s="13" t="s">
        <v>310</v>
      </c>
      <c r="E108" s="13" t="s">
        <v>50</v>
      </c>
      <c r="F108" s="13" t="s">
        <v>50</v>
      </c>
      <c r="G108" s="13" t="s">
        <v>50</v>
      </c>
      <c r="H108" s="14" t="s">
        <v>311</v>
      </c>
      <c r="I108" s="15">
        <v>90</v>
      </c>
      <c r="J108" s="13" t="s">
        <v>62</v>
      </c>
      <c r="K108" s="14"/>
    </row>
    <row r="109" spans="1:11" x14ac:dyDescent="0.25">
      <c r="A109" s="10" t="s">
        <v>132</v>
      </c>
      <c r="B109" s="10" t="s">
        <v>16</v>
      </c>
      <c r="C109" s="10" t="s">
        <v>312</v>
      </c>
      <c r="D109" s="10" t="s">
        <v>313</v>
      </c>
      <c r="E109" s="10" t="s">
        <v>50</v>
      </c>
      <c r="F109" s="10" t="s">
        <v>50</v>
      </c>
      <c r="G109" s="10" t="s">
        <v>50</v>
      </c>
      <c r="H109" s="11" t="s">
        <v>222</v>
      </c>
      <c r="I109" s="12">
        <v>90</v>
      </c>
      <c r="J109" s="10" t="s">
        <v>62</v>
      </c>
      <c r="K109" s="11"/>
    </row>
    <row r="110" spans="1:11" x14ac:dyDescent="0.25">
      <c r="A110" s="13" t="s">
        <v>132</v>
      </c>
      <c r="B110" s="13" t="s">
        <v>16</v>
      </c>
      <c r="C110" s="13" t="s">
        <v>314</v>
      </c>
      <c r="D110" s="13" t="s">
        <v>315</v>
      </c>
      <c r="E110" s="13" t="s">
        <v>50</v>
      </c>
      <c r="F110" s="13" t="s">
        <v>50</v>
      </c>
      <c r="G110" s="13" t="s">
        <v>50</v>
      </c>
      <c r="H110" s="14" t="s">
        <v>227</v>
      </c>
      <c r="I110" s="15">
        <v>90</v>
      </c>
      <c r="J110" s="13" t="s">
        <v>62</v>
      </c>
      <c r="K110" s="14"/>
    </row>
    <row r="111" spans="1:11" x14ac:dyDescent="0.25">
      <c r="A111" s="10" t="s">
        <v>132</v>
      </c>
      <c r="B111" s="10" t="s">
        <v>16</v>
      </c>
      <c r="C111" s="10" t="s">
        <v>326</v>
      </c>
      <c r="D111" s="10" t="s">
        <v>327</v>
      </c>
      <c r="E111" s="10" t="s">
        <v>50</v>
      </c>
      <c r="F111" s="10" t="s">
        <v>50</v>
      </c>
      <c r="G111" s="10" t="s">
        <v>50</v>
      </c>
      <c r="H111" s="11" t="s">
        <v>328</v>
      </c>
      <c r="I111" s="12">
        <v>90</v>
      </c>
      <c r="J111" s="10" t="s">
        <v>62</v>
      </c>
      <c r="K111" s="11"/>
    </row>
    <row r="112" spans="1:11" x14ac:dyDescent="0.25">
      <c r="A112" s="10" t="s">
        <v>132</v>
      </c>
      <c r="B112" s="10" t="s">
        <v>16</v>
      </c>
      <c r="C112" s="10" t="s">
        <v>337</v>
      </c>
      <c r="D112" s="10" t="s">
        <v>338</v>
      </c>
      <c r="E112" s="10" t="s">
        <v>50</v>
      </c>
      <c r="F112" s="10" t="s">
        <v>50</v>
      </c>
      <c r="G112" s="10" t="s">
        <v>50</v>
      </c>
      <c r="H112" s="11" t="s">
        <v>227</v>
      </c>
      <c r="I112" s="12">
        <v>90</v>
      </c>
      <c r="J112" s="10" t="s">
        <v>62</v>
      </c>
      <c r="K112" s="11"/>
    </row>
    <row r="113" spans="1:11" x14ac:dyDescent="0.25">
      <c r="A113" s="13" t="s">
        <v>132</v>
      </c>
      <c r="B113" s="13" t="s">
        <v>16</v>
      </c>
      <c r="C113" s="13" t="s">
        <v>339</v>
      </c>
      <c r="D113" s="13" t="s">
        <v>340</v>
      </c>
      <c r="E113" s="13" t="s">
        <v>50</v>
      </c>
      <c r="F113" s="13" t="s">
        <v>50</v>
      </c>
      <c r="G113" s="13" t="s">
        <v>50</v>
      </c>
      <c r="H113" s="14" t="s">
        <v>227</v>
      </c>
      <c r="I113" s="15">
        <v>90</v>
      </c>
      <c r="J113" s="13" t="s">
        <v>62</v>
      </c>
      <c r="K113" s="14"/>
    </row>
    <row r="114" spans="1:11" x14ac:dyDescent="0.25">
      <c r="A114" s="13" t="s">
        <v>132</v>
      </c>
      <c r="B114" s="13" t="s">
        <v>16</v>
      </c>
      <c r="C114" s="13" t="s">
        <v>343</v>
      </c>
      <c r="D114" s="13" t="s">
        <v>344</v>
      </c>
      <c r="E114" s="13" t="s">
        <v>50</v>
      </c>
      <c r="F114" s="13" t="s">
        <v>50</v>
      </c>
      <c r="G114" s="13" t="s">
        <v>50</v>
      </c>
      <c r="H114" s="14" t="s">
        <v>227</v>
      </c>
      <c r="I114" s="15">
        <v>90</v>
      </c>
      <c r="J114" s="13" t="s">
        <v>62</v>
      </c>
      <c r="K114" s="14"/>
    </row>
    <row r="115" spans="1:11" x14ac:dyDescent="0.25">
      <c r="A115" s="10" t="s">
        <v>132</v>
      </c>
      <c r="B115" s="10" t="s">
        <v>16</v>
      </c>
      <c r="C115" s="10" t="s">
        <v>345</v>
      </c>
      <c r="D115" s="10" t="s">
        <v>346</v>
      </c>
      <c r="E115" s="10" t="s">
        <v>50</v>
      </c>
      <c r="F115" s="10" t="s">
        <v>50</v>
      </c>
      <c r="G115" s="10" t="s">
        <v>50</v>
      </c>
      <c r="H115" s="11" t="s">
        <v>227</v>
      </c>
      <c r="I115" s="12">
        <v>90</v>
      </c>
      <c r="J115" s="10" t="s">
        <v>62</v>
      </c>
      <c r="K115" s="11"/>
    </row>
    <row r="116" spans="1:11" x14ac:dyDescent="0.25">
      <c r="A116" s="13" t="s">
        <v>132</v>
      </c>
      <c r="B116" s="13" t="s">
        <v>16</v>
      </c>
      <c r="C116" s="13" t="s">
        <v>347</v>
      </c>
      <c r="D116" s="13" t="s">
        <v>348</v>
      </c>
      <c r="E116" s="13" t="s">
        <v>349</v>
      </c>
      <c r="F116" s="13" t="s">
        <v>50</v>
      </c>
      <c r="G116" s="13" t="s">
        <v>50</v>
      </c>
      <c r="H116" s="14" t="s">
        <v>214</v>
      </c>
      <c r="I116" s="15">
        <v>90</v>
      </c>
      <c r="J116" s="13" t="s">
        <v>62</v>
      </c>
      <c r="K116" s="14"/>
    </row>
    <row r="117" spans="1:11" x14ac:dyDescent="0.25">
      <c r="A117" s="10" t="s">
        <v>132</v>
      </c>
      <c r="B117" s="10" t="s">
        <v>16</v>
      </c>
      <c r="C117" s="10" t="s">
        <v>350</v>
      </c>
      <c r="D117" s="10" t="s">
        <v>351</v>
      </c>
      <c r="E117" s="10" t="s">
        <v>352</v>
      </c>
      <c r="F117" s="10" t="s">
        <v>50</v>
      </c>
      <c r="G117" s="10" t="s">
        <v>50</v>
      </c>
      <c r="H117" s="11" t="s">
        <v>214</v>
      </c>
      <c r="I117" s="12">
        <v>90</v>
      </c>
      <c r="J117" s="10" t="s">
        <v>62</v>
      </c>
      <c r="K117" s="11"/>
    </row>
    <row r="118" spans="1:11" x14ac:dyDescent="0.25">
      <c r="A118" s="13" t="s">
        <v>132</v>
      </c>
      <c r="B118" s="13" t="s">
        <v>16</v>
      </c>
      <c r="C118" s="13" t="s">
        <v>361</v>
      </c>
      <c r="D118" s="13" t="s">
        <v>362</v>
      </c>
      <c r="E118" s="13" t="s">
        <v>50</v>
      </c>
      <c r="F118" s="13" t="s">
        <v>50</v>
      </c>
      <c r="G118" s="13" t="s">
        <v>50</v>
      </c>
      <c r="H118" s="14" t="s">
        <v>363</v>
      </c>
      <c r="I118" s="15">
        <v>90</v>
      </c>
      <c r="J118" s="13" t="s">
        <v>62</v>
      </c>
      <c r="K118" s="14"/>
    </row>
    <row r="119" spans="1:11" x14ac:dyDescent="0.25">
      <c r="A119" s="10" t="s">
        <v>132</v>
      </c>
      <c r="B119" s="10" t="s">
        <v>16</v>
      </c>
      <c r="C119" s="10" t="s">
        <v>364</v>
      </c>
      <c r="D119" s="10" t="s">
        <v>365</v>
      </c>
      <c r="E119" s="10" t="s">
        <v>50</v>
      </c>
      <c r="F119" s="10" t="s">
        <v>50</v>
      </c>
      <c r="G119" s="10" t="s">
        <v>50</v>
      </c>
      <c r="H119" s="11" t="s">
        <v>227</v>
      </c>
      <c r="I119" s="12">
        <v>90</v>
      </c>
      <c r="J119" s="10" t="s">
        <v>62</v>
      </c>
      <c r="K119" s="11"/>
    </row>
    <row r="120" spans="1:11" ht="25.5" x14ac:dyDescent="0.25">
      <c r="A120" s="13" t="s">
        <v>132</v>
      </c>
      <c r="B120" s="13" t="s">
        <v>18</v>
      </c>
      <c r="C120" s="13" t="s">
        <v>381</v>
      </c>
      <c r="D120" s="13" t="s">
        <v>382</v>
      </c>
      <c r="E120" s="13" t="s">
        <v>50</v>
      </c>
      <c r="F120" s="13" t="s">
        <v>50</v>
      </c>
      <c r="G120" s="13" t="s">
        <v>50</v>
      </c>
      <c r="H120" s="14" t="s">
        <v>383</v>
      </c>
      <c r="I120" s="15">
        <v>90</v>
      </c>
      <c r="J120" s="13" t="s">
        <v>62</v>
      </c>
      <c r="K120" s="14" t="s">
        <v>384</v>
      </c>
    </row>
    <row r="121" spans="1:11" ht="25.5" x14ac:dyDescent="0.25">
      <c r="A121" s="13" t="s">
        <v>132</v>
      </c>
      <c r="B121" s="13" t="s">
        <v>19</v>
      </c>
      <c r="C121" s="13" t="s">
        <v>405</v>
      </c>
      <c r="D121" s="13" t="s">
        <v>406</v>
      </c>
      <c r="E121" s="13" t="s">
        <v>50</v>
      </c>
      <c r="F121" s="13" t="s">
        <v>50</v>
      </c>
      <c r="G121" s="13" t="s">
        <v>50</v>
      </c>
      <c r="H121" s="14" t="s">
        <v>407</v>
      </c>
      <c r="I121" s="15">
        <v>90</v>
      </c>
      <c r="J121" s="13" t="s">
        <v>62</v>
      </c>
      <c r="K121" s="14" t="s">
        <v>408</v>
      </c>
    </row>
    <row r="122" spans="1:11" x14ac:dyDescent="0.25">
      <c r="A122" s="10" t="s">
        <v>47</v>
      </c>
      <c r="B122" s="10" t="s">
        <v>12</v>
      </c>
      <c r="C122" s="10" t="s">
        <v>59</v>
      </c>
      <c r="D122" s="10" t="s">
        <v>60</v>
      </c>
      <c r="E122" s="10" t="s">
        <v>50</v>
      </c>
      <c r="F122" s="10" t="s">
        <v>50</v>
      </c>
      <c r="G122" s="10" t="s">
        <v>50</v>
      </c>
      <c r="H122" s="11" t="s">
        <v>61</v>
      </c>
      <c r="I122" s="12">
        <v>95</v>
      </c>
      <c r="J122" s="10" t="s">
        <v>62</v>
      </c>
      <c r="K122" s="11" t="s">
        <v>63</v>
      </c>
    </row>
    <row r="123" spans="1:11" x14ac:dyDescent="0.25">
      <c r="A123" s="13" t="s">
        <v>47</v>
      </c>
      <c r="B123" s="13" t="s">
        <v>12</v>
      </c>
      <c r="C123" s="13" t="s">
        <v>64</v>
      </c>
      <c r="D123" s="13" t="s">
        <v>65</v>
      </c>
      <c r="E123" s="13" t="s">
        <v>50</v>
      </c>
      <c r="F123" s="13" t="s">
        <v>50</v>
      </c>
      <c r="G123" s="13" t="s">
        <v>50</v>
      </c>
      <c r="H123" s="14" t="s">
        <v>61</v>
      </c>
      <c r="I123" s="15">
        <v>95</v>
      </c>
      <c r="J123" s="13" t="s">
        <v>62</v>
      </c>
      <c r="K123" s="14" t="s">
        <v>63</v>
      </c>
    </row>
    <row r="124" spans="1:11" ht="25.5" x14ac:dyDescent="0.25">
      <c r="A124" s="13" t="s">
        <v>47</v>
      </c>
      <c r="B124" s="13" t="s">
        <v>13</v>
      </c>
      <c r="C124" s="13" t="s">
        <v>102</v>
      </c>
      <c r="D124" s="13" t="s">
        <v>103</v>
      </c>
      <c r="E124" s="13" t="s">
        <v>50</v>
      </c>
      <c r="F124" s="13" t="s">
        <v>50</v>
      </c>
      <c r="G124" s="13" t="s">
        <v>50</v>
      </c>
      <c r="H124" s="14" t="s">
        <v>104</v>
      </c>
      <c r="I124" s="15">
        <v>95</v>
      </c>
      <c r="J124" s="13" t="s">
        <v>62</v>
      </c>
      <c r="K124" s="14" t="s">
        <v>105</v>
      </c>
    </row>
    <row r="125" spans="1:11" ht="25.5" x14ac:dyDescent="0.25">
      <c r="A125" s="10" t="s">
        <v>132</v>
      </c>
      <c r="B125" s="10" t="s">
        <v>16</v>
      </c>
      <c r="C125" s="10" t="s">
        <v>233</v>
      </c>
      <c r="D125" s="10" t="s">
        <v>234</v>
      </c>
      <c r="E125" s="10" t="s">
        <v>50</v>
      </c>
      <c r="F125" s="10" t="s">
        <v>50</v>
      </c>
      <c r="G125" s="10" t="s">
        <v>50</v>
      </c>
      <c r="H125" s="11" t="s">
        <v>235</v>
      </c>
      <c r="I125" s="12">
        <v>95</v>
      </c>
      <c r="J125" s="10" t="s">
        <v>62</v>
      </c>
      <c r="K125" s="11"/>
    </row>
    <row r="126" spans="1:11" ht="25.5" x14ac:dyDescent="0.25">
      <c r="A126" s="10" t="s">
        <v>132</v>
      </c>
      <c r="B126" s="10" t="s">
        <v>19</v>
      </c>
      <c r="C126" s="10" t="s">
        <v>409</v>
      </c>
      <c r="D126" s="10" t="s">
        <v>410</v>
      </c>
      <c r="E126" s="10" t="s">
        <v>50</v>
      </c>
      <c r="F126" s="10" t="s">
        <v>50</v>
      </c>
      <c r="G126" s="10" t="s">
        <v>50</v>
      </c>
      <c r="H126" s="11" t="s">
        <v>411</v>
      </c>
      <c r="I126" s="12">
        <v>95</v>
      </c>
      <c r="J126" s="10" t="s">
        <v>62</v>
      </c>
      <c r="K126" s="11" t="s">
        <v>412</v>
      </c>
    </row>
    <row r="127" spans="1:11" ht="25.5" x14ac:dyDescent="0.25">
      <c r="A127" s="10" t="s">
        <v>430</v>
      </c>
      <c r="B127" s="10" t="s">
        <v>22</v>
      </c>
      <c r="C127" s="10" t="s">
        <v>436</v>
      </c>
      <c r="D127" s="10" t="s">
        <v>437</v>
      </c>
      <c r="E127" s="10" t="s">
        <v>50</v>
      </c>
      <c r="F127" s="10" t="s">
        <v>50</v>
      </c>
      <c r="G127" s="10" t="s">
        <v>50</v>
      </c>
      <c r="H127" s="11" t="s">
        <v>438</v>
      </c>
      <c r="I127" s="12">
        <v>95</v>
      </c>
      <c r="J127" s="10" t="s">
        <v>62</v>
      </c>
      <c r="K127" s="11" t="s">
        <v>439</v>
      </c>
    </row>
    <row r="128" spans="1:11" ht="38.25" x14ac:dyDescent="0.25">
      <c r="A128" s="13" t="s">
        <v>479</v>
      </c>
      <c r="B128" s="13" t="s">
        <v>25</v>
      </c>
      <c r="C128" s="13" t="s">
        <v>480</v>
      </c>
      <c r="D128" s="13" t="s">
        <v>481</v>
      </c>
      <c r="E128" s="13" t="s">
        <v>50</v>
      </c>
      <c r="F128" s="13" t="s">
        <v>482</v>
      </c>
      <c r="G128" s="13" t="s">
        <v>482</v>
      </c>
      <c r="H128" s="14" t="s">
        <v>483</v>
      </c>
      <c r="I128" s="15">
        <v>95</v>
      </c>
      <c r="J128" s="13" t="s">
        <v>62</v>
      </c>
      <c r="K128" s="14" t="s">
        <v>484</v>
      </c>
    </row>
    <row r="129" spans="1:11" ht="38.25" x14ac:dyDescent="0.25">
      <c r="A129" s="10" t="s">
        <v>47</v>
      </c>
      <c r="B129" s="10" t="s">
        <v>13</v>
      </c>
      <c r="C129" s="10" t="s">
        <v>81</v>
      </c>
      <c r="D129" s="10" t="s">
        <v>82</v>
      </c>
      <c r="E129" s="10" t="s">
        <v>50</v>
      </c>
      <c r="F129" s="10" t="s">
        <v>50</v>
      </c>
      <c r="G129" s="10" t="s">
        <v>50</v>
      </c>
      <c r="H129" s="11" t="s">
        <v>83</v>
      </c>
      <c r="I129" s="12">
        <v>100</v>
      </c>
      <c r="J129" s="10" t="s">
        <v>62</v>
      </c>
      <c r="K129" s="11" t="s">
        <v>84</v>
      </c>
    </row>
    <row r="130" spans="1:11" ht="51" x14ac:dyDescent="0.25">
      <c r="A130" s="13" t="s">
        <v>47</v>
      </c>
      <c r="B130" s="13" t="s">
        <v>13</v>
      </c>
      <c r="C130" s="13" t="s">
        <v>85</v>
      </c>
      <c r="D130" s="13" t="s">
        <v>86</v>
      </c>
      <c r="E130" s="13" t="s">
        <v>50</v>
      </c>
      <c r="F130" s="13" t="s">
        <v>50</v>
      </c>
      <c r="G130" s="13" t="s">
        <v>87</v>
      </c>
      <c r="H130" s="14" t="s">
        <v>88</v>
      </c>
      <c r="I130" s="15">
        <v>100</v>
      </c>
      <c r="J130" s="13" t="s">
        <v>62</v>
      </c>
      <c r="K130" s="14" t="s">
        <v>89</v>
      </c>
    </row>
    <row r="131" spans="1:11" ht="51" x14ac:dyDescent="0.25">
      <c r="A131" s="13" t="s">
        <v>47</v>
      </c>
      <c r="B131" s="13" t="s">
        <v>13</v>
      </c>
      <c r="C131" s="13" t="s">
        <v>94</v>
      </c>
      <c r="D131" s="13" t="s">
        <v>95</v>
      </c>
      <c r="E131" s="13" t="s">
        <v>50</v>
      </c>
      <c r="F131" s="13" t="s">
        <v>50</v>
      </c>
      <c r="G131" s="13" t="s">
        <v>50</v>
      </c>
      <c r="H131" s="14" t="s">
        <v>96</v>
      </c>
      <c r="I131" s="15">
        <v>100</v>
      </c>
      <c r="J131" s="13" t="s">
        <v>62</v>
      </c>
      <c r="K131" s="14" t="s">
        <v>97</v>
      </c>
    </row>
    <row r="132" spans="1:11" ht="25.5" x14ac:dyDescent="0.25">
      <c r="A132" s="13" t="s">
        <v>132</v>
      </c>
      <c r="B132" s="13" t="s">
        <v>14</v>
      </c>
      <c r="C132" s="13" t="s">
        <v>163</v>
      </c>
      <c r="D132" s="13" t="s">
        <v>95</v>
      </c>
      <c r="E132" s="13" t="s">
        <v>164</v>
      </c>
      <c r="F132" s="13" t="s">
        <v>50</v>
      </c>
      <c r="G132" s="13" t="s">
        <v>50</v>
      </c>
      <c r="H132" s="14" t="s">
        <v>165</v>
      </c>
      <c r="I132" s="15">
        <v>100</v>
      </c>
      <c r="J132" s="13" t="s">
        <v>62</v>
      </c>
      <c r="K132" s="14" t="s">
        <v>166</v>
      </c>
    </row>
    <row r="133" spans="1:11" ht="25.5" x14ac:dyDescent="0.25">
      <c r="A133" s="13" t="s">
        <v>485</v>
      </c>
      <c r="B133" s="13" t="s">
        <v>482</v>
      </c>
      <c r="C133" s="13" t="s">
        <v>493</v>
      </c>
      <c r="D133" s="13" t="s">
        <v>494</v>
      </c>
      <c r="E133" s="13" t="s">
        <v>495</v>
      </c>
      <c r="F133" s="13" t="s">
        <v>496</v>
      </c>
      <c r="G133" s="13" t="s">
        <v>496</v>
      </c>
      <c r="H133" s="14" t="s">
        <v>497</v>
      </c>
      <c r="I133" s="15" t="s">
        <v>482</v>
      </c>
      <c r="J133" s="13" t="s">
        <v>498</v>
      </c>
      <c r="K133" s="14" t="s">
        <v>499</v>
      </c>
    </row>
  </sheetData>
  <autoFilter ref="A1:K133" xr:uid="{00000000-0009-0000-0000-000001000000}">
    <sortState xmlns:xlrd2="http://schemas.microsoft.com/office/spreadsheetml/2017/richdata2" ref="A2:K133">
      <sortCondition ref="I2:I133"/>
    </sortState>
  </autoFilter>
  <conditionalFormatting sqref="I2:I133">
    <cfRule type="cellIs" dxfId="2" priority="2" operator="greaterThanOrEqual">
      <formula>80</formula>
    </cfRule>
    <cfRule type="cellIs" dxfId="1" priority="3" operator="between">
      <formula>40</formula>
      <formula>79</formula>
    </cfRule>
    <cfRule type="cellIs" dxfId="0" priority="4" operator="lessThan">
      <formula>40</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Full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Abdullah Hashmi</cp:lastModifiedBy>
  <cp:revision>0</cp:revision>
  <dcterms:created xsi:type="dcterms:W3CDTF">2026-07-04T18:11:13Z</dcterms:created>
  <dcterms:modified xsi:type="dcterms:W3CDTF">2026-07-04T18:38:05Z</dcterms:modified>
  <dc:language>en-US</dc:language>
</cp:coreProperties>
</file>