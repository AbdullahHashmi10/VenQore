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ummary" sheetId="1" state="visible" r:id="rId3"/>
    <sheet name="Full Audit" sheetId="2" state="visible" r:id="rId4"/>
  </sheets>
  <definedNames>
    <definedName function="false" hidden="true" localSheetId="1" name="_xlnm._FilterDatabase" vbProcedure="false">'Full Audit'!$A$1:$K$133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<sst xmlns="http://schemas.openxmlformats.org/spreadsheetml/2006/main" count="1447" uniqueCount="549">
  <si>
    <t xml:space="preserve">VenQore POS — Settings Functionality Audit</t>
  </si>
  <si>
    <t xml:space="preserve">Every setting audited against the live codebase: does it save, does it load back, and does anything real actually read it?</t>
  </si>
  <si>
    <t xml:space="preserve">Overall Stats</t>
  </si>
  <si>
    <t xml:space="preserve">Total settings audited</t>
  </si>
  <si>
    <t xml:space="preserve">Average working score (all settings)</t>
  </si>
  <si>
    <t xml:space="preserve">Fully Working (score &gt;= 80)</t>
  </si>
  <si>
    <t xml:space="preserve">Partially Working / Unverified (40-79)</t>
  </si>
  <si>
    <t xml:space="preserve">Cosmetic Only / Broken / Dead (&lt; 40)</t>
  </si>
  <si>
    <t xml:space="preserve">By Section (average working score)</t>
  </si>
  <si>
    <t xml:space="preserve">Tab / Section</t>
  </si>
  <si>
    <t xml:space="preserve">Avg. Score</t>
  </si>
  <si>
    <t xml:space="preserve"># Settings</t>
  </si>
  <si>
    <t xml:space="preserve">Business Info</t>
  </si>
  <si>
    <t xml:space="preserve">Preferences</t>
  </si>
  <si>
    <t xml:space="preserve">Sales &amp; Invoicing</t>
  </si>
  <si>
    <t xml:space="preserve">Taxes</t>
  </si>
  <si>
    <t xml:space="preserve">Print</t>
  </si>
  <si>
    <t xml:space="preserve">Messages</t>
  </si>
  <si>
    <t xml:space="preserve">Party</t>
  </si>
  <si>
    <t xml:space="preserve">Item</t>
  </si>
  <si>
    <t xml:space="preserve">Reminders</t>
  </si>
  <si>
    <t xml:space="preserve">Accounting</t>
  </si>
  <si>
    <t xml:space="preserve">Security</t>
  </si>
  <si>
    <t xml:space="preserve">AI &amp; Integrations</t>
  </si>
  <si>
    <t xml:space="preserve">Backup &amp; Data</t>
  </si>
  <si>
    <t xml:space="preserve">Factory Reset</t>
  </si>
  <si>
    <t xml:space="preserve">Top Findings</t>
  </si>
  <si>
    <t xml:space="preserve">1. Double-Entry System toggle was REMOVED from the Settings UI in today's session, not fixed. enable_double_entry no longer appears anywhere in the live Settings.jsx (only in a stale non-live copy) -- it saved a value that never gated real behavior, and rather than repairing the load-back bug, the control was deleted. Confirm this was intentional; the setting key is now orphaned.</t>
  </si>
  <si>
    <t xml:space="preserve">2. Two-Factor Authentication is still fully cosmetic despite being named in today's fix commit. No 2FA code prompt exists anywhere in the login flow -- SettingsHelper::isTwoFactorEnabled() still has zero callers in app/Http. Turning it on still provides no real second factor.</t>
  </si>
  <si>
    <t xml:space="preserve">3. WooCommerce Settings card is still completely disconnected from the real sync engine despite being named in today's fix commit. woocommerce_url / consumer_key / consumer_secret are still not read anywhere in app/ -- the real WooCommerce integration still uses its own separate handshake/OAuth flow.</t>
  </si>
  <si>
    <t xml:space="preserve">4. Automatic Daily Backups now correctly saves and displays its real value (fixed today), but still doesn't control any backup. The only scheduled backup job remains backup:google-drive, gated by Tenant.google_backup_enabled + OAuth, not by this setting -- no job performs the nightly local backup its own label describes.</t>
  </si>
  <si>
    <t xml:space="preserve">5. FBR Integration is still fully simulated (unchanged this session) -- FbrService.php's real HTTP call is still commented out in favor of a hardcoded mock 'Success' response and fake invoice/QR data.</t>
  </si>
  <si>
    <t xml:space="preserve">6. The tax rate that actually calculates tax (default_tax_rate) still has no UI anywhere (unchanged this session) -- the polished 'Tax Rates' list still saves fine but is still never read by Pos.jsx or CreateInvoice.jsx's real tax math.</t>
  </si>
  <si>
    <t xml:space="preserve">7. Payment Mode (footer) is now read correctly by PrintPreview.jsx (fixed this session, defaults to true) but, unlike its four sibling toggles (Party Balance, Received By, Delivered By, Acknowledgement), still has no UI control anywhere -- a user still can't turn it off.</t>
  </si>
  <si>
    <t xml:space="preserve">8. Print Description now has a real UI toggle and a real renderer consumer (fixed this session) -- but it sits alongside the differently-scoped, similarly-named print_show_description ('Product Description column'). Two separate description controls with near-identical names is a naming/UX risk worth a follow-up pass, not a functional bug.</t>
  </si>
  <si>
    <t xml:space="preserve">9. decimal_places is read consistently almost everywhere, but Pos.jsx's reverse-calculate-price/qty-from-typed-total inputs still hardcode .toFixed(4)/.toFixed(2) (lines 335, 338, 342, 345, unchanged this session) regardless of the setting.</t>
  </si>
  <si>
    <t xml:space="preserve">10. billing_type, sale_prefix and purchase_prefix are still real, actively-used settings with no UI control anywhere to change them (unchanged this session) -- still database-only edits.</t>
  </si>
  <si>
    <t xml:space="preserve">Re-Audit — Session of 2026-07-05</t>
  </si>
  <si>
    <t xml:space="preserve">Verified against the live codebase after today's 'Settings audit Category A/B/D/E' fix commits (and the further uncommitted POS/print changes on top of them). Each changed row above is marked FIXED / PARTIALLY FIXED / NOT FIXED / REGRESSED with file-level evidence in its Evidence/Notes cell. Rows not touched by today's session were spot-checked for regressions (none found) and left as-is.</t>
  </si>
  <si>
    <t xml:space="preserve">Scorecard for everything touched today:</t>
  </si>
  <si>
    <t xml:space="preserve">Setting</t>
  </si>
  <si>
    <t xml:space="preserve">Data Key</t>
  </si>
  <si>
    <t xml:space="preserve">Before</t>
  </si>
  <si>
    <t xml:space="preserve">After</t>
  </si>
  <si>
    <t xml:space="preserve">Result</t>
  </si>
  <si>
    <t xml:space="preserve">Fiscal Year Start</t>
  </si>
  <si>
    <t xml:space="preserve">fiscal_year_start</t>
  </si>
  <si>
    <t xml:space="preserve">Fixed</t>
  </si>
  <si>
    <t xml:space="preserve">Double Entry System</t>
  </si>
  <si>
    <t xml:space="preserve">enable_double_entry</t>
  </si>
  <si>
    <t xml:space="preserve">Removed (not fixed)</t>
  </si>
  <si>
    <t xml:space="preserve">Two-Factor Authentication</t>
  </si>
  <si>
    <t xml:space="preserve">two_factor_auth</t>
  </si>
  <si>
    <t xml:space="preserve">Not fixed</t>
  </si>
  <si>
    <t xml:space="preserve">Force Dark Mode</t>
  </si>
  <si>
    <t xml:space="preserve">dark_mode_default</t>
  </si>
  <si>
    <t xml:space="preserve">Extra Feed (Lines)</t>
  </si>
  <si>
    <t xml:space="preserve">thermal_extra_lines</t>
  </si>
  <si>
    <t xml:space="preserve">WooCommerce (4 fields)</t>
  </si>
  <si>
    <t xml:space="preserve">woocommerce_*</t>
  </si>
  <si>
    <t xml:space="preserve">Automatic Daily Backups</t>
  </si>
  <si>
    <t xml:space="preserve">auto_backup</t>
  </si>
  <si>
    <t xml:space="preserve">Partially fixed</t>
  </si>
  <si>
    <t xml:space="preserve">Daily Sales Report</t>
  </si>
  <si>
    <t xml:space="preserve">daily_sales_summary</t>
  </si>
  <si>
    <t xml:space="preserve">Low Stock Alerts</t>
  </si>
  <si>
    <t xml:space="preserve">low_stock_alerts</t>
  </si>
  <si>
    <t xml:space="preserve">Payment Reminder Days</t>
  </si>
  <si>
    <t xml:space="preserve">payment_reminder_days</t>
  </si>
  <si>
    <t xml:space="preserve">Enable Payment Reminders (new)</t>
  </si>
  <si>
    <t xml:space="preserve">payment_reminders</t>
  </si>
  <si>
    <t xml:space="preserve">n/a (new)</t>
  </si>
  <si>
    <t xml:space="preserve">New, working</t>
  </si>
  <si>
    <t xml:space="preserve">Print Description</t>
  </si>
  <si>
    <t xml:space="preserve">print_description</t>
  </si>
  <si>
    <t xml:space="preserve">Custom Chars (thermal)</t>
  </si>
  <si>
    <t xml:space="preserve">thermal_custom_chars</t>
  </si>
  <si>
    <t xml:space="preserve">Amount Grouping</t>
  </si>
  <si>
    <t xml:space="preserve">print_amount_grouping</t>
  </si>
  <si>
    <t xml:space="preserve">Party Balance</t>
  </si>
  <si>
    <t xml:space="preserve">print_party_balance</t>
  </si>
  <si>
    <t xml:space="preserve">Received By</t>
  </si>
  <si>
    <t xml:space="preserve">print_received_by</t>
  </si>
  <si>
    <t xml:space="preserve">Delivered By</t>
  </si>
  <si>
    <t xml:space="preserve">print_delivered_by</t>
  </si>
  <si>
    <t xml:space="preserve">Acknowledgement</t>
  </si>
  <si>
    <t xml:space="preserve">print_acknowledgement</t>
  </si>
  <si>
    <t xml:space="preserve">Payment Mode (footer)</t>
  </si>
  <si>
    <t xml:space="preserve">print_payment_mode</t>
  </si>
  <si>
    <t xml:space="preserve">Partially fixed (still no UI)</t>
  </si>
  <si>
    <t xml:space="preserve">Show MFG Date</t>
  </si>
  <si>
    <t xml:space="preserve">thermal_show_mfg_date</t>
  </si>
  <si>
    <t xml:space="preserve">Show Size</t>
  </si>
  <si>
    <t xml:space="preserve">thermal_show_size</t>
  </si>
  <si>
    <t xml:space="preserve">Show Model</t>
  </si>
  <si>
    <t xml:space="preserve">thermal_show_model</t>
  </si>
  <si>
    <t xml:space="preserve">Show Serial (product)</t>
  </si>
  <si>
    <t xml:space="preserve">thermal_show_serial</t>
  </si>
  <si>
    <t xml:space="preserve">Extra Top Space</t>
  </si>
  <si>
    <t xml:space="preserve">print_extra_space_top</t>
  </si>
  <si>
    <t xml:space="preserve">Min Item Rows</t>
  </si>
  <si>
    <t xml:space="preserve">print_min_item_rows</t>
  </si>
  <si>
    <t xml:space="preserve">Decimal Amounts</t>
  </si>
  <si>
    <t xml:space="preserve">print_amount_decimal</t>
  </si>
  <si>
    <t xml:space="preserve">Email Summaries</t>
  </si>
  <si>
    <t xml:space="preserve">email_notifications</t>
  </si>
  <si>
    <t xml:space="preserve">Repeat Header on All Pages</t>
  </si>
  <si>
    <t xml:space="preserve">print_header_all_pages</t>
  </si>
  <si>
    <t xml:space="preserve">Official Email</t>
  </si>
  <si>
    <t xml:space="preserve">business_email</t>
  </si>
  <si>
    <t xml:space="preserve">Tax / NTN</t>
  </si>
  <si>
    <t xml:space="preserve">tax_number</t>
  </si>
  <si>
    <t xml:space="preserve">Auto-Fill Cash Received</t>
  </si>
  <si>
    <t xml:space="preserve">pos_auto_fill_cash</t>
  </si>
  <si>
    <t xml:space="preserve">Show Margin Percentage</t>
  </si>
  <si>
    <t xml:space="preserve">show_margin_percentage</t>
  </si>
  <si>
    <t xml:space="preserve">Service Reminders</t>
  </si>
  <si>
    <t xml:space="preserve">service_reminders</t>
  </si>
  <si>
    <t xml:space="preserve">Round Off Invoice Totals</t>
  </si>
  <si>
    <t xml:space="preserve">round_off_total</t>
  </si>
  <si>
    <t xml:space="preserve">Extended to POS cart</t>
  </si>
  <si>
    <t xml:space="preserve">Net effect: 25 settings fixed, 1 already-working setting extended further (round-off now also applied to the live POS cart, not just the saved invoice), 4 partially fixed, 1 new setting added and working (Enable Payment Reminders). 2FA and the 4-field WooCommerce group are confirmed still NOT fixed despite being named in today's commit messages. 1 regression to flag: the Double-Entry System toggle was removed from the UI rather than repaired. See the Overall Stats and By Section boxes above -- they recalculate automatically from the Full Audit sheet.</t>
  </si>
  <si>
    <t xml:space="preserve">Category</t>
  </si>
  <si>
    <t xml:space="preserve">Has UI Control?</t>
  </si>
  <si>
    <t xml:space="preserve">Saves to DB?</t>
  </si>
  <si>
    <t xml:space="preserve">Loads Back on Reopen?</t>
  </si>
  <si>
    <t xml:space="preserve">Actually Enforced / Read At</t>
  </si>
  <si>
    <t xml:space="preserve">Working %</t>
  </si>
  <si>
    <t xml:space="preserve">Verdict</t>
  </si>
  <si>
    <t xml:space="preserve">Evidence / Notes</t>
  </si>
  <si>
    <t xml:space="preserve">Operations</t>
  </si>
  <si>
    <t xml:space="preserve">FBR Integration (toggle)</t>
  </si>
  <si>
    <t xml:space="preserve">fbr_integration</t>
  </si>
  <si>
    <t xml:space="preserve">Yes (appears in 2 tabs)</t>
  </si>
  <si>
    <t xml:space="preserve">Yes</t>
  </si>
  <si>
    <t xml:space="preserve">SaleController.php line 384 (calls FbrService on every sale when enabled)</t>
  </si>
  <si>
    <t xml:space="preserve">Broken (Simulated)</t>
  </si>
  <si>
    <t xml:space="preserve">SEE DEDICATED FINDING: SaleController really does call FbrService::reportSale() on every sale -- but inside FbrService.php the real HTTP call to FBR's API is commented out (lines 62-75) and replaced with a hardcoded mock 'Success' response plus a fake invoice number and fake QR-code URL. The sale record is then permanently marked is_fbr_reported=true. Turning this on does not actually report anything to FBR.</t>
  </si>
  <si>
    <t xml:space="preserve">FBR POS ID</t>
  </si>
  <si>
    <t xml:space="preserve">fbr_pos_id</t>
  </si>
  <si>
    <t xml:space="preserve">Yes (2 tabs)</t>
  </si>
  <si>
    <t xml:space="preserve">FbrService.php constructor</t>
  </si>
  <si>
    <t xml:space="preserve">Feeds the same simulated call described above.</t>
  </si>
  <si>
    <t xml:space="preserve">FBR USIN</t>
  </si>
  <si>
    <t xml:space="preserve">fbr_usin</t>
  </si>
  <si>
    <t xml:space="preserve">Advanced</t>
  </si>
  <si>
    <t xml:space="preserve">FBR POS Integration (dup. UI)</t>
  </si>
  <si>
    <t xml:space="preserve">Yes (2nd copy of the same toggle)</t>
  </si>
  <si>
    <t xml:space="preserve">Same simulated FbrService as the Sales &amp; Invoicing copy</t>
  </si>
  <si>
    <t xml:space="preserve">Broken (Simulated) + Duplicated UI</t>
  </si>
  <si>
    <t xml:space="preserve">This is the exact same fbr_integration field as the one in Sales &amp; Invoicing, now editable from two different tabs -- and, per the finding above, it only ever triggers a simulated FBR response either way.</t>
  </si>
  <si>
    <t xml:space="preserve">Stripe (Publishable/Secret/Webhook/Enabled)</t>
  </si>
  <si>
    <t xml:space="preserve">stripe_publishable_key, stripe_secret_key, stripe_webhook_secret, stripe_enabled</t>
  </si>
  <si>
    <t xml:space="preserve">Card shown but explicitly disabled, no input fields</t>
  </si>
  <si>
    <t xml:space="preserve">Yes if forced via API</t>
  </si>
  <si>
    <t xml:space="preserve">None found anywhere</t>
  </si>
  <si>
    <t xml:space="preserve">Not Built (honestly labeled)</t>
  </si>
  <si>
    <t xml:space="preserve">Explicitly marked 'Upcoming' with a disabled toggle in the UI itself -- this is not a bug, just clearly-labeled unbuilt functionality.</t>
  </si>
  <si>
    <t xml:space="preserve">(Backend-only)</t>
  </si>
  <si>
    <t xml:space="preserve">n/a</t>
  </si>
  <si>
    <t xml:space="preserve">Tenant name-sync target</t>
  </si>
  <si>
    <t xml:space="preserve">store_name</t>
  </si>
  <si>
    <t xml:space="preserve">No -- the form sends business_name instead</t>
  </si>
  <si>
    <t xml:space="preserve">N/A</t>
  </si>
  <si>
    <t xml:space="preserve">AdminController.php tenant-sync block</t>
  </si>
  <si>
    <t xml:space="preserve">Broken (key mismatch)</t>
  </si>
  <si>
    <t xml:space="preserve">The Tenant-mirroring code looks for a settings key called store_name to update $tenant-&gt;name -- but the live Settings form always sends business_name instead, so this sync path can never fire from the current UI.</t>
  </si>
  <si>
    <t xml:space="preserve">PrintPreview.jsx (all themes, suppressed when print_show_previous_balance is also on) + Settings UI ToggleBtn 'Party Balance'</t>
  </si>
  <si>
    <t xml:space="preserve">Fully Working</t>
  </si>
  <si>
    <t xml:space="preserve">FIXED 2026-07-05: real UI toggle added, and PrintPreview.jsx now renders it -- with one interaction to note: it's only shown when print_show_previous_balance is OFF, i.e. the two footer balance displays are mutually exclusive by design, not a bug.</t>
  </si>
  <si>
    <t xml:space="preserve">Utils/format.js + SettingsHelper::formatNumber/formatCurrency + Settings UI ToggleBtn 'Amount Grouping'</t>
  </si>
  <si>
    <t xml:space="preserve">FIXED 2026-07-05: now has a real UI toggle (PrintSettingsSection.jsx) and is genuinely read on both frontend (format.js) and backend (SettingsHelper) to control thousands-separator grouping.</t>
  </si>
  <si>
    <t xml:space="preserve">Received By (footer)</t>
  </si>
  <si>
    <t xml:space="preserve">PrintPreview.jsx (all themes) + Settings UI ToggleBtn 'Received By'</t>
  </si>
  <si>
    <t xml:space="preserve">FIXED 2026-07-05: real UI toggle added, now rendered in the footer acknowledgement block in every theme.</t>
  </si>
  <si>
    <t xml:space="preserve">Delivered By (footer)</t>
  </si>
  <si>
    <t xml:space="preserve">PrintPreview.jsx (all themes) + Settings UI ToggleBtn 'Delivered By'</t>
  </si>
  <si>
    <t xml:space="preserve">No UI control found</t>
  </si>
  <si>
    <t xml:space="preserve">PrintPreview.jsx (all themes) -- read correctly, defaults to true</t>
  </si>
  <si>
    <t xml:space="preserve">Working, but unreachable</t>
  </si>
  <si>
    <t xml:space="preserve">PARTIALLY FIXED 2026-07-05: PrintPreview.jsx genuinely reads print_payment_mode now (part of the same footer acknowledgement block as rows above) and it correctly defaults to true. BUT unlike its four neighbors (Party Balance, Received By, Delivered By, Acknowledgement), no ToggleBtn/UI control for print_payment_mode was found anywhere in PrintSettingsSection.jsx or elsewhere -- a user still has no way to turn it off.</t>
  </si>
  <si>
    <t xml:space="preserve">Acknowledgement (footer)</t>
  </si>
  <si>
    <t xml:space="preserve">PrintPreview.jsx (all themes) + Settings UI ToggleBtn 'Acknowledgement'</t>
  </si>
  <si>
    <t xml:space="preserve">PrintPreview.jsx (real proportional width override: pxPerChar = 80mm*MM_TO_PX/48, width = chars * pxPerChar) + Settings UI NumberInput 'Custom Chars (line length)'</t>
  </si>
  <si>
    <t xml:space="preserve">FIXED 2026-07-05: no longer dead. PrintSettingsSection.jsx now has a real NumberInput control, and PrintPreview.jsx uses the value to proportionally override the rendered thermal receipt width instead of ignoring it.</t>
  </si>
  <si>
    <t xml:space="preserve">PrintPreview.jsx (thermal themes) + Settings UI ToggleBtn 'Show MFG Date'</t>
  </si>
  <si>
    <t xml:space="preserve">FIXED 2026-07-05: real UI toggle added, now rendered alongside batch/expiry info on thermal receipts.</t>
  </si>
  <si>
    <t xml:space="preserve">PrintPreview.jsx (thermal themes) + Settings UI ToggleBtn 'Show Size'</t>
  </si>
  <si>
    <t xml:space="preserve">FIXED 2026-07-05: real UI toggle added, now rendered on thermal receipts.</t>
  </si>
  <si>
    <t xml:space="preserve">PrintPreview.jsx (thermal themes) + Settings UI ToggleBtn 'Show Model'</t>
  </si>
  <si>
    <t xml:space="preserve">PrintPreview.jsx (thermal themes) + Settings UI ToggleBtn 'Show Serial (product)'</t>
  </si>
  <si>
    <t xml:space="preserve">Organization</t>
  </si>
  <si>
    <t xml:space="preserve">Multi-Firm Mode</t>
  </si>
  <si>
    <t xml:space="preserve">multi_firm_enabled</t>
  </si>
  <si>
    <t xml:space="preserve">None found anywhere in app/ or resources/js/ outside the toggle itself</t>
  </si>
  <si>
    <t xml:space="preserve">Cosmetic Only</t>
  </si>
  <si>
    <t xml:space="preserve">Zero backend or other frontend consumption found. Real multi-store support is handled entirely by the separate Tenant/TenantUser system described in CLAUDE.md -- unrelated to this toggle.</t>
  </si>
  <si>
    <t xml:space="preserve">PrintPreview.jsx margin-top calc (marginTop = (margin_top + print_extra_space_top) * MM_TO_PX) + Settings UI NumberInput 'Extra Top Space (mm)'</t>
  </si>
  <si>
    <t xml:space="preserve">FIXED 2026-07-05: real NumberInput control added, and the value now genuinely adds to the top margin calculation.</t>
  </si>
  <si>
    <t xml:space="preserve">PrintPreview.jsx (pads the items table with blank rows up to this count) + Settings UI NumberInput 'Min Item Rows'</t>
  </si>
  <si>
    <t xml:space="preserve">FIXED 2026-07-05: real NumberInput control added, and PrintPreview.jsx now renders blank filler rows so the items table always has at least this many rows.</t>
  </si>
  <si>
    <t xml:space="preserve">Description (footer, distinct key)</t>
  </si>
  <si>
    <t xml:space="preserve">PrintPreview.jsx (all themes) + Settings UI ToggleBtn 'Print Description'</t>
  </si>
  <si>
    <t xml:space="preserve">Partially Working</t>
  </si>
  <si>
    <t xml:space="preserve">PARTIALLY FIXED 2026-07-05: print_description now has a real UI toggle and is read in PrintPreview.jsx (all themes) -- no longer dead. Scored below Fully Working because the original naming-collision concern with the unrelated print_show_description ('Product Description column', row for that setting elsewhere in this sheet) hasn't been addressed -- two similarly-labeled description controls now sit side by side in the Settings UI with real-but-different effects, which is still a plausible source of user confusion worth a naming pass.</t>
  </si>
  <si>
    <t xml:space="preserve">Enable WhatsApp</t>
  </si>
  <si>
    <t xml:space="preserve">whatsapp_enabled</t>
  </si>
  <si>
    <t xml:space="preserve">None found anywhere in app/</t>
  </si>
  <si>
    <t xml:space="preserve">No WhatsApp-sending service exists anywhere in the backend. The 'Connect Account' button next to this card has no onClick handler at all.</t>
  </si>
  <si>
    <t xml:space="preserve">WhatsApp API URL</t>
  </si>
  <si>
    <t xml:space="preserve">whatsapp_api_url</t>
  </si>
  <si>
    <t xml:space="preserve">None found</t>
  </si>
  <si>
    <t xml:space="preserve">WhatsApp Access Token</t>
  </si>
  <si>
    <t xml:space="preserve">whatsapp_access_token</t>
  </si>
  <si>
    <t xml:space="preserve">WhatsApp Phone Number ID</t>
  </si>
  <si>
    <t xml:space="preserve">whatsapp_phone_number_id</t>
  </si>
  <si>
    <t xml:space="preserve">Send SMS to Party</t>
  </si>
  <si>
    <t xml:space="preserve">sms_to_party</t>
  </si>
  <si>
    <t xml:space="preserve">No SMS-sending service exists anywhere in the backend.</t>
  </si>
  <si>
    <t xml:space="preserve">Auto-send for Sales</t>
  </si>
  <si>
    <t xml:space="preserve">auto_send_sales</t>
  </si>
  <si>
    <t xml:space="preserve">Enable Credit Limit</t>
  </si>
  <si>
    <t xml:space="preserve">enable_credit_limit</t>
  </si>
  <si>
    <t xml:space="preserve">None found -- Party model has no credit_limit field at all</t>
  </si>
  <si>
    <t xml:space="preserve">Confirmed: no credit_limit column/logic anywhere on the Party model.</t>
  </si>
  <si>
    <t xml:space="preserve">Settings.jsx useForm initializer (line ~280) + AccountingController::profitAndLoss() via SettingsHelper::getFiscalYearStart()</t>
  </si>
  <si>
    <t xml:space="preserve">FIXED 2026-07-05: fiscal_year_start is now in Settings.jsx's useForm initializer (settings.fiscal_year_start || '2025-01-01'), so it correctly loads back on reopen (the original load-back bug is gone). SettingsHelper::getFiscalYearStart() is a new getter, now used as the default start_date in AccountingController::profitAndLoss().</t>
  </si>
  <si>
    <t xml:space="preserve">No (control removed from Settings.jsx during today's session)</t>
  </si>
  <si>
    <t xml:space="preserve">Unknown</t>
  </si>
  <si>
    <t xml:space="preserve">Not read anywhere in app/ (unchanged) -- and no longer has a UI path to even set it</t>
  </si>
  <si>
    <t xml:space="preserve">Regressed (removed, not fixed)</t>
  </si>
  <si>
    <t xml:space="preserve">NOT FIXED — REMOVED: today's commit message claimed a 'double entry' fix alongside fiscal year, but the enable_double_entry Toggle no longer exists anywhere in the live Settings.jsx (grep across the whole app/ and resources/js only finds it in a stale, non-live copy under VenQore_Local/). The control was deleted rather than repaired. This may be intentional (the original audit noted double-entry accounting already runs unconditionally, so the toggle never gated anything real) but it means the setting is now completely unreachable, and any tenant's previously-saved value is orphaned. Recommend confirming this removal was deliberate and, if so, deleting the dead setting key/column entirely instead of leaving it silently orphaned.</t>
  </si>
  <si>
    <t xml:space="preserve">SettingsHelper::isTwoFactorEnabled() (getter only -- zero references anywhere in app/Http auth/login code)</t>
  </si>
  <si>
    <t xml:space="preserve">Broken / Cosmetic (unchanged)</t>
  </si>
  <si>
    <t xml:space="preserve">STILL NOT FIXED despite being named in today's commit message: grep for two_factor / 2fa / twoFactor across all of app/Http (controllers + middleware) returns zero results. SettingsHelper::isTwoFactorEnabled() still has no caller anywhere in the login/auth flow. Turning this on still saves a value and provides no real second factor at login.</t>
  </si>
  <si>
    <t xml:space="preserve">Contexts/ThemeContext.jsx (ThemeProvider reads settings.dark_mode_default via GlobalProviderLayout.jsx's Inertia props) + SettingsHelper unchanged</t>
  </si>
  <si>
    <t xml:space="preserve">FIXED 2026-07-05: ThemeProvider now takes a `settings` prop (passed down from GlobalProviderLayout, sourced from Inertia's shared props) and uses settings.dark_mode_default to pick the initial theme on first load, and re-applies it via a useEffect whenever the setting changes -- but only when the user hasn't manually overridden their theme (localStorage 'amd_theme' always wins once set, which is correct, expected behavior, not a bug).</t>
  </si>
  <si>
    <t xml:space="preserve">PrintPreview.jsx -- now reads `data.thermal_extra_lines ?? data.print_feed_lines` (nullish-coalescing) in all 3 thermal themes</t>
  </si>
  <si>
    <t xml:space="preserve">FIXED 2026-07-05: both bugs are resolved. (1) Key mismatch: the renderer now checks thermal_extra_lines FIRST, falling back to the orphaned print_feed_lines only if the former is null/undefined. (2) Zero-value bug: because the fallback uses `??` (nullish coalescing) instead of a truthy check, setting the slider to 0 is now correctly respected instead of silently falling back.</t>
  </si>
  <si>
    <t xml:space="preserve">Copies to Print</t>
  </si>
  <si>
    <t xml:space="preserve">thermal_copies</t>
  </si>
  <si>
    <t xml:space="preserve">Not read anywhere in the print-execution path</t>
  </si>
  <si>
    <t xml:space="preserve">Likely Dead</t>
  </si>
  <si>
    <t xml:space="preserve">The only print action found (Test Print) uses the browser's native print dialog, which has no hook for a repeat-copy count.</t>
  </si>
  <si>
    <t xml:space="preserve">Auto Cut Paper</t>
  </si>
  <si>
    <t xml:space="preserve">thermal_auto_cut</t>
  </si>
  <si>
    <t xml:space="preserve">This is a hardware-level ESC/POS command; no raw printer-driver code was found anywhere -- only a standard browser print dialog exists in this codebase.</t>
  </si>
  <si>
    <t xml:space="preserve">Open Cash Drawer</t>
  </si>
  <si>
    <t xml:space="preserve">thermal_open_drawer</t>
  </si>
  <si>
    <t xml:space="preserve">Same as Auto Cut Paper -- no hardware command pathway found.</t>
  </si>
  <si>
    <t xml:space="preserve">WooCommerce Store URL</t>
  </si>
  <si>
    <t xml:space="preserve">woocommerce_url</t>
  </si>
  <si>
    <t xml:space="preserve">Yes (plan-gated)</t>
  </si>
  <si>
    <t xml:space="preserve">None found anywhere in the real WooSync subsystem (WooConnectionController, SyncEngine, webhook/polling jobs)</t>
  </si>
  <si>
    <t xml:space="preserve">Broken / Disconnected (unchanged)</t>
  </si>
  <si>
    <t xml:space="preserve">STILL NOT FIXED despite being named in today's commit message: grep for woocommerce_url / woocommerce_consumer_key / woocommerce_consumer_secret across all of app/ returns zero results. The real WooCommerce sync engine (its own controller, sync engine, webhook handler, scheduled poller) still has a completely separate connection mechanism from this Settings card.</t>
  </si>
  <si>
    <t xml:space="preserve">WooCommerce Consumer Key</t>
  </si>
  <si>
    <t xml:space="preserve">woocommerce_consumer_key</t>
  </si>
  <si>
    <t xml:space="preserve">Same as above</t>
  </si>
  <si>
    <t xml:space="preserve">Same as woocommerce_url above -- still not read anywhere.</t>
  </si>
  <si>
    <t xml:space="preserve">WooCommerce Consumer Secret</t>
  </si>
  <si>
    <t xml:space="preserve">woocommerce_consumer_secret</t>
  </si>
  <si>
    <t xml:space="preserve">WooCommerce Enabled</t>
  </si>
  <si>
    <t xml:space="preserve">woocommerce_enabled</t>
  </si>
  <si>
    <t xml:space="preserve">Same as woocommerce_url above -- HandleInertiaRequests.php does expose a prop of the same name, but it's computed from PlanGate::check('woocommerce') (a SaaS plan-feature flag for nav/UI gating), not from this Settings value -- a coincidental name collision, not a fix.</t>
  </si>
  <si>
    <t xml:space="preserve">Yes (now in Data &amp; Backup hub)</t>
  </si>
  <si>
    <t xml:space="preserve">DataManagementController::index() now reads Setting::where('key','auto_backup') directly and passes it to the merged Data &amp; Backup page; still no scheduled job</t>
  </si>
  <si>
    <t xml:space="preserve">Partially Working (display/round-trip fixed, core promise still unfulfilled)</t>
  </si>
  <si>
    <t xml:space="preserve">PARTIALLY IMPROVED 2026-07-05: the toggle now round-trips correctly in the merged Data &amp; Backup hub (DataManagementController@index reads the real DB value into `autoBackupEnabled`, and DataManagement.jsx's toggle saves it back via store.admin.settings.update) -- so the display/save/load-back bug is genuinely fixed. BUT the underlying promise of the setting is still not real: the only scheduled backup job in routes/console.php remains backup:google-drive (SyncGoogleDriveBackups), still gated by Tenant.google_backup_enabled + OAuth token, not by this setting. No scheduled command anywhere performs the 'back up to local storage every night' behavior the toggle's own on-screen label still describes.</t>
  </si>
  <si>
    <t xml:space="preserve">app/Console/Commands/SendDailySalesSummaries.php, scheduled dailyAt('00:10') in routes/console.php</t>
  </si>
  <si>
    <t xml:space="preserve">FIXED 2026-07-05: new `sales:send-daily-summary` command loops every active/trial tenant, binds tenant context, skips if daily_sales_summary is disabled, captures/looks up a DailySnapshot, and emails the owner via DailySalesSummaryMail. Scheduled daily at 00:10.</t>
  </si>
  <si>
    <t xml:space="preserve">Tax Rates (named list: GST/VAT/etc.)</t>
  </si>
  <si>
    <t xml:space="preserve">tax_rates</t>
  </si>
  <si>
    <t xml:space="preserve">Yes (full add/edit/delete UI)</t>
  </si>
  <si>
    <t xml:space="preserve">None found in Pos.jsx or Sales/CreateInvoice.jsx</t>
  </si>
  <si>
    <t xml:space="preserve">The add/edit/delete UI fully works and saves as JSON -- but no sale or invoice calculation anywhere in the app was found to read this list. Real tax math uses the completely separate default_tax_rate value below instead.</t>
  </si>
  <si>
    <t xml:space="preserve">app/Console/Commands/SendLowStockAlerts.php, scheduled dailyAt('09:00')</t>
  </si>
  <si>
    <t xml:space="preserve">FIXED 2026-07-05: new `inventory:send-low-stock-alerts` command loops every tenant, skips if low_stock_alerts is disabled, computes real per-product stock vs. low_stock_threshold (or per-product override), and emails the owner via LowStockAlertMail when items are low. Scheduled daily at 09:00.</t>
  </si>
  <si>
    <t xml:space="preserve">app/Console/Commands/SendPaymentReminders.php, scheduled dailyAt('10:00'); getPaymentReminderDays() now has a real caller</t>
  </si>
  <si>
    <t xml:space="preserve">FIXED 2026-07-05: new `invoices:send-payment-reminders` command finds posted sales past the payment_reminder_days cutoff with an outstanding balance, groups by customer, and emails each via PaymentReminderMail. Gated by a new companion enable toggle -- see 'Enable Payment Reminders' row below. Scheduled daily at 10:00.</t>
  </si>
  <si>
    <t xml:space="preserve">Utils/format.js formatCurrency()/formatNumber() (forces 0 decimals when set to '0'/false/0)</t>
  </si>
  <si>
    <t xml:space="preserve">FIXED 2026-07-05: formatCurrency() and formatNumber() in Utils/format.js both now explicitly check print_amount_decimal and force 0 decimal places when it's disabled, instead of always deferring to decimal_places.</t>
  </si>
  <si>
    <t xml:space="preserve">app/Console/Commands/SendWeeklyBusinessSummaries.php (gates the whole weekly digest), scheduled weeklyOn(1,'08:00')</t>
  </si>
  <si>
    <t xml:space="preserve">PARTIALLY FIXED 2026-07-05: email_notifications now has one real consumer -- the new `sales:send-weekly-summary` command skips a tenant entirely if this is disabled, otherwise emails a full sales/COGS/purchases/expenses/low-stock/top-product digest via WeeklyBusinessSummaryMail. Scored below 90 because the setting's label ('Email Summaries') implies it should gate ALL summary/notification email types, but daily_sales_summary and low_stock_alerts are each gated by their own separate toggle, not this one -- so its real scope is narrower than its name suggests.</t>
  </si>
  <si>
    <t xml:space="preserve">PrintPreview.jsx -- restructures output into a &lt;table&gt;&lt;thead&gt;/&lt;tbody&gt; so the header genuinely repeats on every printed page</t>
  </si>
  <si>
    <t xml:space="preserve">FIXED 2026-07-05: when enabled, the theme components now wrap header+bill-to content in a &lt;thead&gt; and the invoice body in &lt;tbody&gt; inside a print-layout-master-table -- the standard, correct technique for making browser/PDF print engines repeat the header on every physical page.</t>
  </si>
  <si>
    <t xml:space="preserve">PrintPreview.jsx (all 6 themes) + resources/views/pdf/receipt.blade.php</t>
  </si>
  <si>
    <t xml:space="preserve">FIXED 2026-07-05: business_email now prints in every PrintPreview.jsx theme (regular and thermal) AND in the separate receipt.blade.php PDF path, right below the phone number.</t>
  </si>
  <si>
    <t xml:space="preserve">FIXED 2026-07-05: tax_number now prints in every PrintPreview.jsx theme AND in receipt.blade.php, labeled 'Tax/NTN'.</t>
  </si>
  <si>
    <t xml:space="preserve">Low Stock Threshold</t>
  </si>
  <si>
    <t xml:space="preserve">low_stock_threshold</t>
  </si>
  <si>
    <t xml:space="preserve">SettingsHelper::getLowStockThreshold() (getter); Components/SmartCombobox.jsx reads a PER-PRODUCT field of the same name, not this global one</t>
  </si>
  <si>
    <t xml:space="preserve">Partially Working / Unclear</t>
  </si>
  <si>
    <t xml:space="preserve">The one confirmed consumer actually reads a different, per-product value that happens to share the same name -- the global default's real application point was not confirmed.</t>
  </si>
  <si>
    <t xml:space="preserve">Stock Maintenance</t>
  </si>
  <si>
    <t xml:space="preserve">stock_maintenance</t>
  </si>
  <si>
    <t xml:space="preserve">SettingsHelper::isStockMaintenanceEnabled() (getter only, sensible true-default)</t>
  </si>
  <si>
    <t xml:space="preserve">Unverified</t>
  </si>
  <si>
    <t xml:space="preserve">Getter exists; the actual gating point in stock/product logic was not independently confirmed.</t>
  </si>
  <si>
    <t xml:space="preserve">Barcode Scanning</t>
  </si>
  <si>
    <t xml:space="preserve">barcode_scan_enabled</t>
  </si>
  <si>
    <t xml:space="preserve">SettingsHelper::isBarcodeScanningEnabled() + Utils/settings.js helper (getters only)</t>
  </si>
  <si>
    <t xml:space="preserve">Getters exist on both sides; the actual gating point in the POS UI was not independently confirmed.</t>
  </si>
  <si>
    <t xml:space="preserve">Service Reminders (edit existing)</t>
  </si>
  <si>
    <t xml:space="preserve">Yes (Add New now enabled)</t>
  </si>
  <si>
    <t xml:space="preserve">app/Console/Commands/SendServiceReminders.php, scheduled dailyAt('08:30')</t>
  </si>
  <si>
    <t xml:space="preserve">FIXED 2026-07-05: the 'Add New Reminder' button in Settings.jsx is no longer disabled/labeled Upcoming -- it appends a real {name, interval, unit} entry. New `services:send-reminders` command computes each reminder's next-due date from interval+unit+last_sent, emails via ServiceReminderMail when due, and persists the new last_sent timestamp back to the setting. Scheduled daily at 08:30.</t>
  </si>
  <si>
    <t xml:space="preserve">Language</t>
  </si>
  <si>
    <t xml:space="preserve">language</t>
  </si>
  <si>
    <t xml:space="preserve">SettingsHelper::getLanguage()</t>
  </si>
  <si>
    <t xml:space="preserve">Only English is selectable -- Spanish/French are visibly disabled 'Coming Soon' in the dropdown itself, so this is honestly labeled rather than silently broken.</t>
  </si>
  <si>
    <t xml:space="preserve">Pos.jsx (real useEffect gated on settings?.pos_auto_fill_cash, only fires when payment method is cash)</t>
  </si>
  <si>
    <t xml:space="preserve">FIXED / CONFIRMED 2026-07-05: Pos.jsx now has an explicit isEnabled check on pos_auto_fill_cash driving a useEffect keyed on cartTotal/paymentMethod -- confirmed real, not just plausible.</t>
  </si>
  <si>
    <t xml:space="preserve">Pos.jsx cart item row (conditional render alongside item.cost_price &gt; 0)</t>
  </si>
  <si>
    <t xml:space="preserve">FIXED / CONFIRMED 2026-07-05: cart item rows now conditionally render a margin-percentage element gated on settings?.show_margin_percentage -- confirmed real, not just plausible.</t>
  </si>
  <si>
    <t xml:space="preserve">POS Return Mode</t>
  </si>
  <si>
    <t xml:space="preserve">pos_return_mode</t>
  </si>
  <si>
    <t xml:space="preserve">Not independently confirmed (Returns controller not read in this pass)</t>
  </si>
  <si>
    <t xml:space="preserve">Real select control with 3 options; consuming controller not verified in this audit.</t>
  </si>
  <si>
    <t xml:space="preserve">Return Window (days)</t>
  </si>
  <si>
    <t xml:space="preserve">pos_return_window</t>
  </si>
  <si>
    <t xml:space="preserve">Not independently confirmed</t>
  </si>
  <si>
    <t xml:space="preserve">Same as above.</t>
  </si>
  <si>
    <t xml:space="preserve">Return Window Behavior</t>
  </si>
  <si>
    <t xml:space="preserve">pos_return_window_behavior</t>
  </si>
  <si>
    <t xml:space="preserve">Default to Cash Sale</t>
  </si>
  <si>
    <t xml:space="preserve">cash_sale_default</t>
  </si>
  <si>
    <t xml:space="preserve">Plausible but no direct read-site located during this audit.</t>
  </si>
  <si>
    <t xml:space="preserve">Date Format</t>
  </si>
  <si>
    <t xml:space="preserve">date_format</t>
  </si>
  <si>
    <t xml:space="preserve">SettingsHelper::formatDate()</t>
  </si>
  <si>
    <t xml:space="preserve">Formatter is correctly implemented and maps to real PHP date formats; not confirmed as consistently called for every date shown across reports/invoices.</t>
  </si>
  <si>
    <t xml:space="preserve">Sale Invoice Prefix</t>
  </si>
  <si>
    <t xml:space="preserve">sale_prefix</t>
  </si>
  <si>
    <t xml:space="preserve">No control found anywhere</t>
  </si>
  <si>
    <t xml:space="preserve">SettingsHelper::getSalePrefix(); PrintPreview.jsx (fallback placeholder display)</t>
  </si>
  <si>
    <t xml:space="preserve">Same issue as Billing Type -- real value, no UI to change it.</t>
  </si>
  <si>
    <t xml:space="preserve">Purchase Invoice Prefix</t>
  </si>
  <si>
    <t xml:space="preserve">purchase_prefix</t>
  </si>
  <si>
    <t xml:space="preserve">SettingsHelper::getPurchasePrefix()</t>
  </si>
  <si>
    <t xml:space="preserve">Same issue -- real value, no UI to change it.</t>
  </si>
  <si>
    <t xml:space="preserve">Loyalty Points Program</t>
  </si>
  <si>
    <t xml:space="preserve">loyalty_enabled</t>
  </si>
  <si>
    <t xml:space="preserve">BillingController.php (SaaS plan-feature gate)</t>
  </si>
  <si>
    <t xml:space="preserve">Confirmed read for plan-feature gating purposes; deeper point-earning/redemption logic was not independently verified in this pass despite LoyaltyPoint/LoyaltyBalance models existing.</t>
  </si>
  <si>
    <t xml:space="preserve">Billing Type (Lite/Full)</t>
  </si>
  <si>
    <t xml:space="preserve">billing_type</t>
  </si>
  <si>
    <t xml:space="preserve">Sales/CreateInvoice.jsx, Returns/Create.jsx, RecurringInvoices/Create.jsx + Edit.jsx (multiple lines each)</t>
  </si>
  <si>
    <t xml:space="preserve">Genuinely used in 3+ pages to hide/show the Discount column and adjust layout -- but there is currently no control anywhere in the Settings UI to change it. Can only be changed by editing the database directly.</t>
  </si>
  <si>
    <t xml:space="preserve">Timezone</t>
  </si>
  <si>
    <t xml:space="preserve">timezone</t>
  </si>
  <si>
    <t xml:space="preserve">Mirrored to Tenant.timezone (key match confirmed correct)</t>
  </si>
  <si>
    <t xml:space="preserve">Sync-to-tenant mechanism is wired correctly. Whether report date-range boundaries actually use the tenant timezone (vs. server default) was not confirmed in this pass.</t>
  </si>
  <si>
    <t xml:space="preserve">Enable Charity Donations</t>
  </si>
  <si>
    <t xml:space="preserve">charity_enabled</t>
  </si>
  <si>
    <t xml:space="preserve">CharityController.php exists</t>
  </si>
  <si>
    <t xml:space="preserve">Partially Working (likely)</t>
  </si>
  <si>
    <t xml:space="preserve">A dedicated controller exists for this feature; not read line-by-line in this pass.</t>
  </si>
  <si>
    <t xml:space="preserve">Default Tax Rate</t>
  </si>
  <si>
    <t xml:space="preserve">default_tax_rate</t>
  </si>
  <si>
    <t xml:space="preserve">No control anywhere in the Taxes tab or elsewhere</t>
  </si>
  <si>
    <t xml:space="preserve">Pos.jsx line 867; Sales/CreateInvoice.jsx line 124; SettingsHelper::getDefaultTaxRate()</t>
  </si>
  <si>
    <t xml:space="preserve">THIS is the value that actually calculates tax on every sale and invoice -- yet there is no field anywhere in the Settings UI to change it. A user would have to edit the database directly. This is the inverse of the Tax Rates row above: the tab with the polished UI doesn't affect anything, and the one that does have no UI at all.</t>
  </si>
  <si>
    <t xml:space="preserve">Decimal Precision</t>
  </si>
  <si>
    <t xml:space="preserve">decimal_places</t>
  </si>
  <si>
    <t xml:space="preserve">SettingsHelper::formatNumber/formatCurrency; pdf/receipt.blade.php; pdf/sales-order.blade.php; Utils/format.js; Utils/settings.js; Utils/useCurrency.js; Utils/PrintService.jsx; OneGlanceLayout.jsx; app.jsx</t>
  </si>
  <si>
    <t xml:space="preserve">Read consistently almost everywhere -- BUT Pos.jsx's 'reverse calculate price/qty from typed total' inputs hardcode .toFixed(4) and .toFixed(2) (lines 335, 338, 342, 345) regardless of this setting. Also independently re-implemented in 7+ separate files rather than one shared helper -- this is exactly the kind of inconsistency risk you asked about.</t>
  </si>
  <si>
    <t xml:space="preserve">Business Name</t>
  </si>
  <si>
    <t xml:space="preserve">business_name</t>
  </si>
  <si>
    <t xml:space="preserve">PrintPreview.jsx (all themes); SettingsHelper::getBusinessInfo()</t>
  </si>
  <si>
    <t xml:space="preserve">Prints correctly on every invoice/receipt theme. BUT AdminController's tenant-sync block checks for a key called store_name (not business_name) before updating $tenant-&gt;name -- so the Tenant record's cached name goes stale and never updates from this field.</t>
  </si>
  <si>
    <t xml:space="preserve">Currency</t>
  </si>
  <si>
    <t xml:space="preserve">currency</t>
  </si>
  <si>
    <t xml:space="preserve">SettingsHelper::getCurrencySymbol(); mirrored to Tenant.currency_code</t>
  </si>
  <si>
    <t xml:space="preserve">Backend currency formatter reads it correctly; tenant-sync key matches correctly here (unlike business_name).</t>
  </si>
  <si>
    <t xml:space="preserve">Delivery Charges (footer)</t>
  </si>
  <si>
    <t xml:space="preserve">print_show_delivery_charge</t>
  </si>
  <si>
    <t xml:space="preserve">No dedicated toggle found (defaults on)</t>
  </si>
  <si>
    <t xml:space="preserve">PrintPreview.jsx</t>
  </si>
  <si>
    <t xml:space="preserve">Functions correctly with a default-on value; no explicit Settings UI toggle was located for it though.</t>
  </si>
  <si>
    <t xml:space="preserve">Extra Charges (footer)</t>
  </si>
  <si>
    <t xml:space="preserve">print_show_extra_charge</t>
  </si>
  <si>
    <t xml:space="preserve">AI Provider (Gemini/OpenAI)</t>
  </si>
  <si>
    <t xml:space="preserve">ai_provider</t>
  </si>
  <si>
    <t xml:space="preserve">store.ai.test route (handleVerifyKey in Settings.jsx)</t>
  </si>
  <si>
    <t xml:space="preserve">Fully Working (assumed)</t>
  </si>
  <si>
    <t xml:space="preserve">Real 'Check Key' verification round-trip confirmed at the UI/route level.</t>
  </si>
  <si>
    <t xml:space="preserve">API Key</t>
  </si>
  <si>
    <t xml:space="preserve">openai_api_key</t>
  </si>
  <si>
    <t xml:space="preserve">AI Model</t>
  </si>
  <si>
    <t xml:space="preserve">ai_model</t>
  </si>
  <si>
    <t xml:space="preserve">Currency Symbol</t>
  </si>
  <si>
    <t xml:space="preserve">currency_symbol</t>
  </si>
  <si>
    <t xml:space="preserve">SettingsHelper::formatCurrency()/getCurrencySymbol(); also re-read independently in Utils/format.js, useCurrency.js, settings.js, PrintService.jsx</t>
  </si>
  <si>
    <t xml:space="preserve">Core money formatting works consistently, but the same 'read decimal_places/currency_symbol' logic is reimplemented in ~4 separate frontend files instead of one shared formatter -- a real drift risk, not yet a visible bug.</t>
  </si>
  <si>
    <t xml:space="preserve">Custom Width/Height</t>
  </si>
  <si>
    <t xml:space="preserve">custom_paper_width / custom_paper_height</t>
  </si>
  <si>
    <t xml:space="preserve">Show Original/Duplicate Copy</t>
  </si>
  <si>
    <t xml:space="preserve">print_original_copy</t>
  </si>
  <si>
    <t xml:space="preserve">Total Qty (footer)</t>
  </si>
  <si>
    <t xml:space="preserve">print_total_quantity</t>
  </si>
  <si>
    <t xml:space="preserve">Received Amount (footer)</t>
  </si>
  <si>
    <t xml:space="preserve">print_received_amount</t>
  </si>
  <si>
    <t xml:space="preserve">Balance Due (footer)</t>
  </si>
  <si>
    <t xml:space="preserve">print_balance_amount</t>
  </si>
  <si>
    <t xml:space="preserve">Tax Breakdown</t>
  </si>
  <si>
    <t xml:space="preserve">print_tax_details</t>
  </si>
  <si>
    <t xml:space="preserve">Savings ('You Saved')</t>
  </si>
  <si>
    <t xml:space="preserve">print_you_saved</t>
  </si>
  <si>
    <t xml:space="preserve">Previous Balance (footer)</t>
  </si>
  <si>
    <t xml:space="preserve">print_show_previous_balance</t>
  </si>
  <si>
    <t xml:space="preserve">Amount in Words</t>
  </si>
  <si>
    <t xml:space="preserve">print_amount_words</t>
  </si>
  <si>
    <t xml:space="preserve">PrintPreview.jsx numberToWords()</t>
  </si>
  <si>
    <t xml:space="preserve">Show Units (thermal)</t>
  </si>
  <si>
    <t xml:space="preserve">thermal_show_units</t>
  </si>
  <si>
    <t xml:space="preserve">Senior Mode (Accessibility)</t>
  </si>
  <si>
    <t xml:space="preserve">senior_mode</t>
  </si>
  <si>
    <t xml:space="preserve">OneGlanceLayout.jsx (font scale, combined with ui_scale)</t>
  </si>
  <si>
    <t xml:space="preserve">Confirmed real effect on font sizing/high-contrast UI.</t>
  </si>
  <si>
    <t xml:space="preserve">SettingsHelper::roundTotal() in SaleController.php (backend) AND Utils/settings.js roundTotal() now applied to the live POS cart total (frontend) -- both use identical rounding semantics</t>
  </si>
  <si>
    <t xml:space="preserve">EXTENDED 2026-07-05: previously only confirmed applied to the persisted invoice total in SaleController.php. Now Utils/settings.js exports a matching roundTotal(total, settings) helper, and Pos.jsx uses it for the live cartTotal shown to the cashier -- so what the cashier sees on-screen now matches what actually gets saved, instead of only rounding after the fact.</t>
  </si>
  <si>
    <t xml:space="preserve">Show Invoice Number</t>
  </si>
  <si>
    <t xml:space="preserve">invoice_number_enabled</t>
  </si>
  <si>
    <t xml:space="preserve">Sales/CreateInvoice.jsx line 2195</t>
  </si>
  <si>
    <t xml:space="preserve">Confirmed used to conditionally show the invoice number field.</t>
  </si>
  <si>
    <t xml:space="preserve">Show Logo</t>
  </si>
  <si>
    <t xml:space="preserve">print_logo (+ _path/_file)</t>
  </si>
  <si>
    <t xml:space="preserve">PrintPreview.jsx (all themes)</t>
  </si>
  <si>
    <t xml:space="preserve">Paper Size</t>
  </si>
  <si>
    <t xml:space="preserve">paper_size</t>
  </si>
  <si>
    <t xml:space="preserve">PrintPreview.jsx dimensions</t>
  </si>
  <si>
    <t xml:space="preserve">Paper Orientation</t>
  </si>
  <si>
    <t xml:space="preserve">paper_orientation</t>
  </si>
  <si>
    <t xml:space="preserve">Margins (Top/Bottom/Left/Right)</t>
  </si>
  <si>
    <t xml:space="preserve">margin_top/bottom/left/right</t>
  </si>
  <si>
    <t xml:space="preserve">PrintPreview.jsx padding</t>
  </si>
  <si>
    <t xml:space="preserve">Signature Text</t>
  </si>
  <si>
    <t xml:space="preserve">print_signature_text</t>
  </si>
  <si>
    <t xml:space="preserve">Header/Body Text Size</t>
  </si>
  <si>
    <t xml:space="preserve">print_company_text_size / print_invoice_text_size</t>
  </si>
  <si>
    <t xml:space="preserve">PrintPreview.jsx itemsHeadingSize()/itemsBodySize()</t>
  </si>
  <si>
    <t xml:space="preserve">Accent Color</t>
  </si>
  <si>
    <t xml:space="preserve">print_theme_color</t>
  </si>
  <si>
    <t xml:space="preserve">Serial No. column</t>
  </si>
  <si>
    <t xml:space="preserve">print_show_sno</t>
  </si>
  <si>
    <t xml:space="preserve">HSN/SAC column</t>
  </si>
  <si>
    <t xml:space="preserve">print_show_hsn</t>
  </si>
  <si>
    <t xml:space="preserve">Product Description column</t>
  </si>
  <si>
    <t xml:space="preserve">print_show_description</t>
  </si>
  <si>
    <t xml:space="preserve">Units/Qty column</t>
  </si>
  <si>
    <t xml:space="preserve">print_show_units</t>
  </si>
  <si>
    <t xml:space="preserve">MRP column</t>
  </si>
  <si>
    <t xml:space="preserve">print_show_mrp</t>
  </si>
  <si>
    <t xml:space="preserve">Discount column</t>
  </si>
  <si>
    <t xml:space="preserve">print_show_discount</t>
  </si>
  <si>
    <t xml:space="preserve">Free Qty (1+1) column</t>
  </si>
  <si>
    <t xml:space="preserve">print_show_free_qty</t>
  </si>
  <si>
    <t xml:space="preserve">Terms &amp; Conditions</t>
  </si>
  <si>
    <t xml:space="preserve">print_terms</t>
  </si>
  <si>
    <t xml:space="preserve">Set as Default Printer</t>
  </si>
  <si>
    <t xml:space="preserve">default_print_type</t>
  </si>
  <si>
    <t xml:space="preserve">PrintSettingsSection.jsx; PrintPreview.jsx / handleTestPrint type selection</t>
  </si>
  <si>
    <t xml:space="preserve">Roll Width (thermal)</t>
  </si>
  <si>
    <t xml:space="preserve">thermal_page_size</t>
  </si>
  <si>
    <t xml:space="preserve">Font Size Scale (thermal)</t>
  </si>
  <si>
    <t xml:space="preserve">thermal_font_size</t>
  </si>
  <si>
    <t xml:space="preserve">Bold Text Mode (thermal)</t>
  </si>
  <si>
    <t xml:space="preserve">thermal_use_bold</t>
  </si>
  <si>
    <t xml:space="preserve">PrintPreview.jsx (fontWeight)</t>
  </si>
  <si>
    <t xml:space="preserve">Label Headers (thermal)</t>
  </si>
  <si>
    <t xml:space="preserve">thermal_show_headers</t>
  </si>
  <si>
    <t xml:space="preserve">Show Serial No. (thermal)</t>
  </si>
  <si>
    <t xml:space="preserve">thermal_show_sno</t>
  </si>
  <si>
    <t xml:space="preserve">Item Description (thermal)</t>
  </si>
  <si>
    <t xml:space="preserve">thermal_show_description</t>
  </si>
  <si>
    <t xml:space="preserve">MRP Prices (thermal)</t>
  </si>
  <si>
    <t xml:space="preserve">thermal_show_mrp</t>
  </si>
  <si>
    <t xml:space="preserve">Show Batch Codes</t>
  </si>
  <si>
    <t xml:space="preserve">thermal_show_batch</t>
  </si>
  <si>
    <t xml:space="preserve">Yes (appears in both Regular &amp; Thermal tabs)</t>
  </si>
  <si>
    <t xml:space="preserve">Show Expiry Dates</t>
  </si>
  <si>
    <t xml:space="preserve">thermal_show_expiry</t>
  </si>
  <si>
    <t xml:space="preserve">Yes (both tabs)</t>
  </si>
  <si>
    <t xml:space="preserve">Show Barcode</t>
  </si>
  <si>
    <t xml:space="preserve">thermal_show_barcode</t>
  </si>
  <si>
    <t xml:space="preserve">PrintPreview.jsx (barcode bars + text)</t>
  </si>
  <si>
    <t xml:space="preserve">Custom Footer Message</t>
  </si>
  <si>
    <t xml:space="preserve">thermal_custom_footer</t>
  </si>
  <si>
    <t xml:space="preserve">Enable Party Grouping</t>
  </si>
  <si>
    <t xml:space="preserve">party_grouping</t>
  </si>
  <si>
    <t xml:space="preserve">Parties/PartiesList.jsx line 863</t>
  </si>
  <si>
    <t xml:space="preserve">Confirmed: conditionally shows a Category field on the party form when enabled.</t>
  </si>
  <si>
    <t xml:space="preserve">Batch &amp; Expiry Tracking</t>
  </si>
  <si>
    <t xml:space="preserve">batch_tracking_enabled</t>
  </si>
  <si>
    <t xml:space="preserve">Components/ProductModal.jsx line 503</t>
  </si>
  <si>
    <t xml:space="preserve">Confirmed: conditionally shows batch-tracking fields on the product form.</t>
  </si>
  <si>
    <t xml:space="preserve">Phone Line</t>
  </si>
  <si>
    <t xml:space="preserve">business_phone</t>
  </si>
  <si>
    <t xml:space="preserve">PrintPreview.jsx (all 6 themes)</t>
  </si>
  <si>
    <t xml:space="preserve">Prints correctly on every invoice/receipt theme, regular and thermal.</t>
  </si>
  <si>
    <t xml:space="preserve">Head Office Address</t>
  </si>
  <si>
    <t xml:space="preserve">business_address</t>
  </si>
  <si>
    <t xml:space="preserve">Interface Scale</t>
  </si>
  <si>
    <t xml:space="preserve">ui_scale</t>
  </si>
  <si>
    <t xml:space="preserve">OneGlanceLayout.jsx (--ui-scale CSS variable, combined with senior_mode)</t>
  </si>
  <si>
    <t xml:space="preserve">Real, visible effect on UI density across the app.</t>
  </si>
  <si>
    <t xml:space="preserve">Theme Template</t>
  </si>
  <si>
    <t xml:space="preserve">print_theme</t>
  </si>
  <si>
    <t xml:space="preserve">PrintPreview.jsx (theme switch: modern/classic/bold)</t>
  </si>
  <si>
    <t xml:space="preserve">Wholesale Pricing</t>
  </si>
  <si>
    <t xml:space="preserve">wholesale_price_enabled</t>
  </si>
  <si>
    <t xml:space="preserve">SettingsHelper::getProductPrice() (real tiered pricing logic); BillingController plan gate</t>
  </si>
  <si>
    <t xml:space="preserve">One of the best-implemented settings in the app -- real price-tier logic keyed off quantity thresholds.</t>
  </si>
  <si>
    <t xml:space="preserve">Auto-Logout Timer</t>
  </si>
  <si>
    <t xml:space="preserve">auto_logout</t>
  </si>
  <si>
    <t xml:space="preserve">OneGlanceLayout.jsx real idle-detection timer; SettingsHelper::getAutoLogoutMinutes()</t>
  </si>
  <si>
    <t xml:space="preserve">Confirmed real effect -- inactive sessions are actually logged out after the configured number of minutes.</t>
  </si>
  <si>
    <t xml:space="preserve">Danger Zone</t>
  </si>
  <si>
    <t xml:space="preserve">Factory Reset (All / Products / Sales / Stock)</t>
  </si>
  <si>
    <t xml:space="preserve">n/a (action, not a stored setting)</t>
  </si>
  <si>
    <t xml:space="preserve">SystemResetController.php, password/passcode confirmation flow</t>
  </si>
  <si>
    <t xml:space="preserve">Confirmed real and dangerous-in-a-good-way: requires password/passcode confirmation, shows real progress, actually deletes data.</t>
  </si>
  <si>
    <t xml:space="preserve">Admin Passcode (enable)</t>
  </si>
  <si>
    <t xml:space="preserve">enable_passcode</t>
  </si>
  <si>
    <t xml:space="preserve">StockOperationsController.php, V3/StockAdjustmentController.php, SystemResetController.php</t>
  </si>
  <si>
    <t xml:space="preserve">Real enforcement gate confirmed before stock adjustments and factory reset.</t>
  </si>
  <si>
    <t xml:space="preserve">Secure PIN</t>
  </si>
  <si>
    <t xml:space="preserve">admin_passcode</t>
  </si>
  <si>
    <t xml:space="preserve">Yes (by design, blanked)</t>
  </si>
  <si>
    <t xml:space="preserve">SystemResetController.php (auto-upgrades legacy plaintext to hash); stripped from Inertia shared props in HandleInertiaRequests.php</t>
  </si>
  <si>
    <t xml:space="preserve">Security-conscious: the raw passcode is deliberately never sent back to the browser, so the field always looks blank on reload -- that is correct behavior, not a bug (the placeholder even says 'leave blank to keep current').</t>
  </si>
  <si>
    <t xml:space="preserve">Negative Stock Sales</t>
  </si>
  <si>
    <t xml:space="preserve">stop_sale_negative_stock</t>
  </si>
  <si>
    <t xml:space="preserve">SettingsHelper::shouldStopNegativeStock(); covered by 4 dedicated automated test files (Module17, Module09, Module04, FifoServiceTest)</t>
  </si>
  <si>
    <t xml:space="preserve">The single best-tested setting in the whole system.</t>
  </si>
  <si>
    <t xml:space="preserve">Allow Negative Stock (dup. of Preferences)</t>
  </si>
  <si>
    <t xml:space="preserve">Yes (dup. UI)</t>
  </si>
  <si>
    <t xml:space="preserve">Same key as 'Negative Stock Sales' in Preferences</t>
  </si>
  <si>
    <t xml:space="preserve">Same underlying value, now editable from two different tabs -- functionally fine, just still duplicated after the recent restructure.</t>
  </si>
  <si>
    <t xml:space="preserve">Product Cost Update Policy</t>
  </si>
  <si>
    <t xml:space="preserve">product_cost_update_policy</t>
  </si>
  <si>
    <t xml:space="preserve">No UI anywhere</t>
  </si>
  <si>
    <t xml:space="preserve">SettingsHelper::getProductCostUpdatePolicy() (getter only)</t>
  </si>
  <si>
    <t xml:space="preserve">No UI (backend-only)</t>
  </si>
  <si>
    <t xml:space="preserve">A getter exists for this key with a sensible default, but no Settings page anywhere exposes a control for it.</t>
  </si>
  <si>
    <t xml:space="preserve">Enable Payment Reminders</t>
  </si>
  <si>
    <t xml:space="preserve">app/Console/Commands/SendPaymentReminders.php checks SettingsHelper::isEnabled('payment_reminders') before running</t>
  </si>
  <si>
    <t xml:space="preserve">NEW 2026-07-05: companion enable toggle added alongside the Payment Reminder Days fix (row above) -- 'Enable Payment Reminders' Toggle in Settings.jsx, in the useForm initializer, and checked by the new send-payment-reminders command before it does anything for a tenant.</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</si>
</sst>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8"/>
      <color rgb="FF1F2937"/>
      <name val="Arial"/>
      <family val="0"/>
      <charset val="1"/>
    </font>
    <font>
      <i val="true"/>
      <sz val="11"/>
      <color rgb="FF6B7280"/>
      <name val="Arial"/>
      <family val="0"/>
      <charset val="1"/>
    </font>
    <font>
      <b val="true"/>
      <sz val="13"/>
      <color rgb="FFFFFFFF"/>
      <name val="Arial"/>
      <family val="0"/>
      <charset val="1"/>
    </font>
    <font>
      <b val="true"/>
      <sz val="11"/>
      <color rgb="FF374151"/>
      <name val="Arial"/>
      <family val="0"/>
      <charset val="1"/>
    </font>
    <font>
      <b val="true"/>
      <sz val="11"/>
      <color rgb="FF4338CA"/>
      <name val="Arial"/>
      <family val="0"/>
      <charset val="1"/>
    </font>
    <font>
      <b val="true"/>
      <sz val="11"/>
      <color rgb="FFFFFFFF"/>
      <name val="Arial"/>
      <family val="0"/>
      <charset val="1"/>
    </font>
    <font>
      <sz val="10.5"/>
      <color rgb="FF111827"/>
      <name val="Arial"/>
      <family val="0"/>
      <charset val="1"/>
    </font>
    <font>
      <b val="true"/>
      <sz val="13"/>
      <name val="Cambria"/>
      <family val="0"/>
      <charset val="1"/>
    </font>
    <font>
      <b val="true"/>
      <sz val="11"/>
      <name val="Cambria"/>
      <family val="0"/>
      <charset val="1"/>
    </font>
    <font>
      <b val="true"/>
      <sz val="10.5"/>
      <color rgb="FFFFFFFF"/>
      <name val="Arial"/>
      <family val="0"/>
      <charset val="1"/>
    </font>
    <font>
      <sz val="10"/>
      <color rgb="FF111827"/>
      <name val="Arial"/>
      <family val="0"/>
      <charset val="1"/>
    </font>
  </fonts>
  <fills count="6">
    <fill>
      <patternFill patternType="none"/>
    </fill>
    <fill>
      <patternFill patternType="gray125"/>
    </fill>
    <fill>
      <patternFill patternType="solid">
        <fgColor rgb="FF4338CA"/>
        <bgColor rgb="FF374151"/>
      </patternFill>
    </fill>
    <fill>
      <patternFill patternType="solid">
        <fgColor rgb="FF6366F1"/>
        <bgColor rgb="FF6B7280"/>
      </patternFill>
    </fill>
    <fill>
      <patternFill patternType="solid">
        <fgColor rgb="FF1E1B4B"/>
        <bgColor rgb="FF1F2937"/>
      </patternFill>
    </fill>
    <fill>
      <patternFill patternType="solid">
        <fgColor rgb="FFF9FAFB"/>
        <bgColor rgb="FFFFFFFF"/>
      </patternFill>
    </fill>
  </fills>
  <borders count="2">
    <border diagonalUp="false" diagonalDown="false">
      <left/>
      <right/>
      <top/>
      <bottom/>
      <diagonal/>
    </border>
    <border diagonalUp="false" diagonalDown="false">
      <left style="thin">
        <color rgb="FFE5E7EB"/>
      </left>
      <right style="thin">
        <color rgb="FFE5E7EB"/>
      </right>
      <top style="thin">
        <color rgb="FFE5E7EB"/>
      </top>
      <bottom style="thin">
        <color rgb="FFE5E7E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general" vertical="top" textRotation="0" wrapText="fals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center" vertical="top" textRotation="0" wrapText="false" indent="0" shrinkToFit="false"/>
      <protection locked="true" hidden="false"/>
    </xf>
    <xf numFmtId="164" fontId="14" fillId="0" borderId="1" xfId="0" applyFont="true" applyBorder="true" applyAlignment="true" applyProtection="false">
      <alignment horizontal="general" vertical="top"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E1B4B"/>
          <bgColor rgb="FF000000"/>
        </patternFill>
      </fill>
    </dxf>
    <dxf>
      <fill>
        <patternFill patternType="solid">
          <fgColor rgb="FFF9FAFB"/>
          <bgColor rgb="FF000000"/>
        </patternFill>
      </fill>
    </dxf>
    <dxf>
      <fill>
        <patternFill patternType="solid">
          <bgColor rgb="FF000000"/>
        </patternFill>
      </fill>
    </dxf>
    <dxf>
      <fill>
        <patternFill patternType="solid">
          <fgColor rgb="FF111827"/>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EE2E2"/>
          <bgColor rgb="FF000000"/>
        </patternFill>
      </fill>
    </dxf>
    <dxf>
      <fill>
        <patternFill patternType="solid">
          <fgColor rgb="FFFEF3C7"/>
          <bgColor rgb="FF000000"/>
        </patternFill>
      </fill>
    </dxf>
    <dxf>
      <fill>
        <patternFill patternType="solid">
          <fgColor rgb="FF065F46"/>
          <bgColor rgb="FF000000"/>
        </patternFill>
      </fill>
    </dxf>
    <dxf>
      <fill>
        <patternFill patternType="solid">
          <fgColor rgb="FF92400E"/>
          <bgColor rgb="FF000000"/>
        </patternFill>
      </fill>
    </dxf>
    <dxf>
      <fill>
        <patternFill patternType="solid">
          <fgColor rgb="FF991B1B"/>
          <bgColor rgb="FF000000"/>
        </patternFill>
      </fill>
    </dxf>
    <dxf>
      <font>
        <b val="1"/>
        <color rgb="FF065F46"/>
      </font>
      <fill>
        <patternFill>
          <bgColor rgb="FFD1FAE5"/>
        </patternFill>
      </fill>
    </dxf>
    <dxf>
      <font>
        <b val="1"/>
        <color rgb="FF92400E"/>
      </font>
      <fill>
        <patternFill>
          <bgColor rgb="FFFEF3C7"/>
        </patternFill>
      </fill>
    </dxf>
    <dxf>
      <font>
        <b val="1"/>
        <color rgb="FF991B1B"/>
      </font>
      <fill>
        <patternFill>
          <bgColor rgb="FFFEE2E2"/>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800080"/>
      <rgbColor rgb="FF065F46"/>
      <rgbColor rgb="FFC0C0C0"/>
      <rgbColor rgb="FF808080"/>
      <rgbColor rgb="FF9999FF"/>
      <rgbColor rgb="FF993366"/>
      <rgbColor rgb="FFFEF3C7"/>
      <rgbColor rgb="FFE5E7E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9FAFB"/>
      <rgbColor rgb="FFD1FAE5"/>
      <rgbColor rgb="FFFFFF99"/>
      <rgbColor rgb="FF99CCFF"/>
      <rgbColor rgb="FFFF99CC"/>
      <rgbColor rgb="FFCC99FF"/>
      <rgbColor rgb="FFFEE2E2"/>
      <rgbColor rgb="FF6366F1"/>
      <rgbColor rgb="FF33CCCC"/>
      <rgbColor rgb="FF99CC00"/>
      <rgbColor rgb="FFFFCC00"/>
      <rgbColor rgb="FFFF9900"/>
      <rgbColor rgb="FFFF6600"/>
      <rgbColor rgb="FF6B7280"/>
      <rgbColor rgb="FF969696"/>
      <rgbColor rgb="FF1E1B4B"/>
      <rgbColor rgb="FF339966"/>
      <rgbColor rgb="FF111827"/>
      <rgbColor rgb="FF374151"/>
      <rgbColor rgb="FF92400E"/>
      <rgbColor rgb="FF993366"/>
      <rgbColor rgb="FF4338CA"/>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0" width="2"/>
    <col collapsed="false" customWidth="true" hidden="false" outlineLevel="0" max="2" min="2" style="0" width="42"/>
    <col collapsed="false" customWidth="true" hidden="false" outlineLevel="0" max="8" min="3" style="0" width="16"/>
  </cols>
  <sheetData>
    <row r="2" customFormat="false" ht="23.25" hidden="false" customHeight="true" outlineLevel="0" collapsed="false">
      <c r="B2" s="1" t="s">
        <v>0</v>
      </c>
      <c r="C2" s="1"/>
      <c r="D2" s="1"/>
      <c r="E2" s="1"/>
      <c r="F2" s="1"/>
      <c r="G2" s="1"/>
      <c r="H2" s="1"/>
    </row>
    <row r="3" customFormat="false" ht="15" hidden="false" customHeight="false" outlineLevel="0" collapsed="false">
      <c r="B3" s="2" t="s">
        <v>1</v>
      </c>
      <c r="C3" s="2"/>
      <c r="D3" s="2"/>
      <c r="E3" s="2"/>
      <c r="F3" s="2"/>
      <c r="G3" s="2"/>
      <c r="H3" s="2"/>
    </row>
    <row r="5" customFormat="false" ht="16.5" hidden="false" customHeight="true" outlineLevel="0" collapsed="false">
      <c r="B5" s="3" t="s">
        <v>2</v>
      </c>
      <c r="C5" s="3"/>
      <c r="D5" s="3"/>
      <c r="E5" s="3"/>
      <c r="F5" s="3"/>
      <c r="G5" s="3"/>
      <c r="H5" s="3"/>
    </row>
    <row r="6" customFormat="false" ht="15" hidden="false" customHeight="false" outlineLevel="0" collapsed="false">
      <c r="B6" s="4" t="s">
        <v>3</v>
      </c>
      <c r="E6" s="5" t="n">
        <f aca="false">COUNTA('Full Audit'!E2:E1000)</f>
        <v>133</v>
      </c>
    </row>
    <row r="7" customFormat="false" ht="15" hidden="false" customHeight="false" outlineLevel="0" collapsed="false">
      <c r="B7" s="4" t="s">
        <v>4</v>
      </c>
      <c r="E7" s="5" t="str">
        <f aca="false">ROUND(AVERAGE('Full Audit'!I2:I1000),0)&amp;"%"</f>
        <v>68%</v>
      </c>
    </row>
    <row r="8" customFormat="false" ht="15" hidden="false" customHeight="false" outlineLevel="0" collapsed="false">
      <c r="B8" s="4" t="s">
        <v>5</v>
      </c>
      <c r="E8" s="5" t="n">
        <f aca="false">COUNTIF('Full Audit'!I2:I1000,"&gt;=80")</f>
        <v>87</v>
      </c>
    </row>
    <row r="9" customFormat="false" ht="15" hidden="false" customHeight="false" outlineLevel="0" collapsed="false">
      <c r="B9" s="4" t="s">
        <v>6</v>
      </c>
      <c r="E9" s="5" t="n">
        <f aca="false">COUNTIFS('Full Audit'!I2:I1000,"&gt;=40",'Full Audit'!I2:I1000,"&lt;80")</f>
        <v>19</v>
      </c>
    </row>
    <row r="10" customFormat="false" ht="15" hidden="false" customHeight="false" outlineLevel="0" collapsed="false">
      <c r="B10" s="4" t="s">
        <v>7</v>
      </c>
      <c r="E10" s="5" t="n">
        <f aca="false">COUNTIF('Full Audit'!I2:I1000,"&lt;40")</f>
        <v>26</v>
      </c>
    </row>
    <row r="12" customFormat="false" ht="16.5" hidden="false" customHeight="true" outlineLevel="0" collapsed="false">
      <c r="B12" s="3" t="s">
        <v>8</v>
      </c>
      <c r="C12" s="3"/>
      <c r="D12" s="3"/>
      <c r="E12" s="3"/>
      <c r="F12" s="3"/>
      <c r="G12" s="3"/>
      <c r="H12" s="3"/>
    </row>
    <row r="13" customFormat="false" ht="15" hidden="false" customHeight="false" outlineLevel="0" collapsed="false">
      <c r="B13" s="6" t="s">
        <v>9</v>
      </c>
      <c r="C13" s="6" t="s">
        <v>10</v>
      </c>
      <c r="D13" s="6" t="s">
        <v>11</v>
      </c>
    </row>
    <row r="14" customFormat="false" ht="15" hidden="false" customHeight="false" outlineLevel="0" collapsed="false">
      <c r="B14" s="7" t="s">
        <v>12</v>
      </c>
      <c r="C14" s="7" t="str">
        <f aca="false">ROUND(AVERAGEIF('Full Audit'!B2:B1000,B14,'Full Audit'!I2:I1000),0)&amp;"%"</f>
        <v>86%</v>
      </c>
      <c r="D14" s="7" t="n">
        <f aca="false">COUNTIF('Full Audit'!B2:B1000,B14)</f>
        <v>8</v>
      </c>
    </row>
    <row r="15" customFormat="false" ht="15" hidden="false" customHeight="false" outlineLevel="0" collapsed="false">
      <c r="B15" s="7" t="s">
        <v>13</v>
      </c>
      <c r="C15" s="7" t="str">
        <f aca="false">ROUND(AVERAGEIF('Full Audit'!B2:B1000,B15,'Full Audit'!I2:I1000),0)&amp;"%"</f>
        <v>77%</v>
      </c>
      <c r="D15" s="7" t="n">
        <f aca="false">COUNTIF('Full Audit'!B2:B1000,B15)</f>
        <v>12</v>
      </c>
    </row>
    <row r="16" customFormat="false" ht="15" hidden="false" customHeight="false" outlineLevel="0" collapsed="false">
      <c r="B16" s="7" t="s">
        <v>14</v>
      </c>
      <c r="C16" s="7" t="str">
        <f aca="false">ROUND(AVERAGEIF('Full Audit'!B2:B1000,B16,'Full Audit'!I2:I1000),0)&amp;"%"</f>
        <v>58%</v>
      </c>
      <c r="D16" s="7" t="n">
        <f aca="false">COUNTIF('Full Audit'!B2:B1000,B16)</f>
        <v>17</v>
      </c>
    </row>
    <row r="17" customFormat="false" ht="15" hidden="false" customHeight="false" outlineLevel="0" collapsed="false">
      <c r="B17" s="7" t="s">
        <v>15</v>
      </c>
      <c r="C17" s="7" t="str">
        <f aca="false">ROUND(AVERAGEIF('Full Audit'!B2:B1000,B17,'Full Audit'!I2:I1000),0)&amp;"%"</f>
        <v>43%</v>
      </c>
      <c r="D17" s="7" t="n">
        <f aca="false">COUNTIF('Full Audit'!B2:B1000,B17)</f>
        <v>2</v>
      </c>
    </row>
    <row r="18" customFormat="false" ht="15" hidden="false" customHeight="false" outlineLevel="0" collapsed="false">
      <c r="B18" s="7" t="s">
        <v>16</v>
      </c>
      <c r="C18" s="7" t="str">
        <f aca="false">ROUND(AVERAGEIF('Full Audit'!B2:B1000,B18,'Full Audit'!I2:I1000),0)&amp;"%"</f>
        <v>83%</v>
      </c>
      <c r="D18" s="7" t="n">
        <f aca="false">COUNTIF('Full Audit'!B2:B1000,B18)</f>
        <v>60</v>
      </c>
    </row>
    <row r="19" customFormat="false" ht="15" hidden="false" customHeight="false" outlineLevel="0" collapsed="false">
      <c r="B19" s="7" t="s">
        <v>17</v>
      </c>
      <c r="C19" s="7" t="str">
        <f aca="false">ROUND(AVERAGEIF('Full Audit'!B2:B1000,B19,'Full Audit'!I2:I1000),0)&amp;"%"</f>
        <v>5%</v>
      </c>
      <c r="D19" s="7" t="n">
        <f aca="false">COUNTIF('Full Audit'!B2:B1000,B19)</f>
        <v>6</v>
      </c>
    </row>
    <row r="20" customFormat="false" ht="15" hidden="false" customHeight="false" outlineLevel="0" collapsed="false">
      <c r="B20" s="7" t="s">
        <v>18</v>
      </c>
      <c r="C20" s="7" t="str">
        <f aca="false">ROUND(AVERAGEIF('Full Audit'!B2:B1000,B20,'Full Audit'!I2:I1000),0)&amp;"%"</f>
        <v>66%</v>
      </c>
      <c r="D20" s="7" t="n">
        <f aca="false">COUNTIF('Full Audit'!B2:B1000,B20)</f>
        <v>5</v>
      </c>
    </row>
    <row r="21" customFormat="false" ht="15" hidden="false" customHeight="false" outlineLevel="0" collapsed="false">
      <c r="B21" s="7" t="s">
        <v>19</v>
      </c>
      <c r="C21" s="7" t="str">
        <f aca="false">ROUND(AVERAGEIF('Full Audit'!B2:B1000,B21,'Full Audit'!I2:I1000),0)&amp;"%"</f>
        <v>60%</v>
      </c>
      <c r="D21" s="7" t="n">
        <f aca="false">COUNTIF('Full Audit'!B2:B1000,B21)</f>
        <v>5</v>
      </c>
    </row>
    <row r="22" customFormat="false" ht="15" hidden="false" customHeight="false" outlineLevel="0" collapsed="false">
      <c r="B22" s="7" t="s">
        <v>20</v>
      </c>
      <c r="C22" s="7" t="str">
        <f aca="false">ROUND(AVERAGEIF('Full Audit'!B2:B1000,B22,'Full Audit'!I2:I1000),0)&amp;"%"</f>
        <v>90%</v>
      </c>
      <c r="D22" s="7" t="n">
        <f aca="false">COUNTIF('Full Audit'!B2:B1000,B22)</f>
        <v>1</v>
      </c>
    </row>
    <row r="23" customFormat="false" ht="15" hidden="false" customHeight="false" outlineLevel="0" collapsed="false">
      <c r="B23" s="7" t="s">
        <v>21</v>
      </c>
      <c r="C23" s="7" t="str">
        <f aca="false">ROUND(AVERAGEIF('Full Audit'!B2:B1000,B23,'Full Audit'!I2:I1000),0)&amp;"%"</f>
        <v>45%</v>
      </c>
      <c r="D23" s="7" t="n">
        <f aca="false">COUNTIF('Full Audit'!B2:B1000,B23)</f>
        <v>2</v>
      </c>
    </row>
    <row r="24" customFormat="false" ht="15" hidden="false" customHeight="false" outlineLevel="0" collapsed="false">
      <c r="B24" s="7" t="s">
        <v>22</v>
      </c>
      <c r="C24" s="7" t="str">
        <f aca="false">ROUND(AVERAGEIF('Full Audit'!B2:B1000,B24,'Full Audit'!I2:I1000),0)&amp;"%"</f>
        <v>50%</v>
      </c>
      <c r="D24" s="7" t="n">
        <f aca="false">COUNTIF('Full Audit'!B2:B1000,B24)</f>
        <v>2</v>
      </c>
    </row>
    <row r="25" customFormat="false" ht="15" hidden="false" customHeight="false" outlineLevel="0" collapsed="false">
      <c r="B25" s="7" t="s">
        <v>23</v>
      </c>
      <c r="C25" s="7" t="str">
        <f aca="false">ROUND(AVERAGEIF('Full Audit'!B2:B1000,B25,'Full Audit'!I2:I1000),0)&amp;"%"</f>
        <v>31%</v>
      </c>
      <c r="D25" s="7" t="n">
        <f aca="false">COUNTIF('Full Audit'!B2:B1000,B25)</f>
        <v>9</v>
      </c>
    </row>
    <row r="26" customFormat="false" ht="15" hidden="false" customHeight="false" outlineLevel="0" collapsed="false">
      <c r="B26" s="7" t="s">
        <v>24</v>
      </c>
      <c r="C26" s="7" t="str">
        <f aca="false">ROUND(AVERAGEIF('Full Audit'!B2:B1000,B26,'Full Audit'!I2:I1000),0)&amp;"%"</f>
        <v>35%</v>
      </c>
      <c r="D26" s="7" t="n">
        <f aca="false">COUNTIF('Full Audit'!B2:B1000,B26)</f>
        <v>1</v>
      </c>
    </row>
    <row r="27" customFormat="false" ht="15" hidden="false" customHeight="false" outlineLevel="0" collapsed="false">
      <c r="B27" s="7" t="s">
        <v>25</v>
      </c>
      <c r="C27" s="7" t="str">
        <f aca="false">ROUND(AVERAGEIF('Full Audit'!B2:B1000,B27,'Full Audit'!I2:I1000),0)&amp;"%"</f>
        <v>95%</v>
      </c>
      <c r="D27" s="7" t="n">
        <f aca="false">COUNTIF('Full Audit'!B2:B1000,B27)</f>
        <v>1</v>
      </c>
    </row>
    <row r="29" customFormat="false" ht="16.5" hidden="false" customHeight="true" outlineLevel="0" collapsed="false">
      <c r="B29" s="3" t="s">
        <v>26</v>
      </c>
      <c r="C29" s="3"/>
      <c r="D29" s="3"/>
      <c r="E29" s="3"/>
      <c r="F29" s="3"/>
      <c r="G29" s="3"/>
      <c r="H29" s="3"/>
    </row>
    <row r="30" customFormat="false" ht="39.75" hidden="false" customHeight="true" outlineLevel="0" collapsed="false">
      <c r="B30" s="8" t="s">
        <v>27</v>
      </c>
      <c r="C30" s="8"/>
      <c r="D30" s="8"/>
      <c r="E30" s="8"/>
      <c r="F30" s="8"/>
      <c r="G30" s="8"/>
      <c r="H30" s="8"/>
    </row>
    <row r="31" customFormat="false" ht="39.75" hidden="false" customHeight="true" outlineLevel="0" collapsed="false">
      <c r="B31" s="8" t="s">
        <v>28</v>
      </c>
      <c r="C31" s="8"/>
      <c r="D31" s="8"/>
      <c r="E31" s="8"/>
      <c r="F31" s="8"/>
      <c r="G31" s="8"/>
      <c r="H31" s="8"/>
    </row>
    <row r="32" customFormat="false" ht="39.75" hidden="false" customHeight="true" outlineLevel="0" collapsed="false">
      <c r="B32" s="8" t="s">
        <v>29</v>
      </c>
      <c r="C32" s="8"/>
      <c r="D32" s="8"/>
      <c r="E32" s="8"/>
      <c r="F32" s="8"/>
      <c r="G32" s="8"/>
      <c r="H32" s="8"/>
    </row>
    <row r="33" customFormat="false" ht="39.75" hidden="false" customHeight="true" outlineLevel="0" collapsed="false">
      <c r="B33" s="8" t="s">
        <v>30</v>
      </c>
      <c r="C33" s="8"/>
      <c r="D33" s="8"/>
      <c r="E33" s="8"/>
      <c r="F33" s="8"/>
      <c r="G33" s="8"/>
      <c r="H33" s="8"/>
    </row>
    <row r="34" customFormat="false" ht="39.75" hidden="false" customHeight="true" outlineLevel="0" collapsed="false">
      <c r="B34" s="8" t="s">
        <v>31</v>
      </c>
      <c r="C34" s="8"/>
      <c r="D34" s="8"/>
      <c r="E34" s="8"/>
      <c r="F34" s="8"/>
      <c r="G34" s="8"/>
      <c r="H34" s="8"/>
    </row>
    <row r="35" customFormat="false" ht="39.75" hidden="false" customHeight="true" outlineLevel="0" collapsed="false">
      <c r="B35" s="8" t="s">
        <v>32</v>
      </c>
      <c r="C35" s="8"/>
      <c r="D35" s="8"/>
      <c r="E35" s="8"/>
      <c r="F35" s="8"/>
      <c r="G35" s="8"/>
      <c r="H35" s="8"/>
    </row>
    <row r="36" customFormat="false" ht="39.75" hidden="false" customHeight="true" outlineLevel="0" collapsed="false">
      <c r="B36" s="8" t="s">
        <v>33</v>
      </c>
      <c r="C36" s="8"/>
      <c r="D36" s="8"/>
      <c r="E36" s="8"/>
      <c r="F36" s="8"/>
      <c r="G36" s="8"/>
      <c r="H36" s="8"/>
    </row>
    <row r="37" customFormat="false" ht="39.75" hidden="false" customHeight="true" outlineLevel="0" collapsed="false">
      <c r="B37" s="8" t="s">
        <v>34</v>
      </c>
      <c r="C37" s="8"/>
      <c r="D37" s="8"/>
      <c r="E37" s="8"/>
      <c r="F37" s="8"/>
      <c r="G37" s="8"/>
      <c r="H37" s="8"/>
    </row>
    <row r="38" customFormat="false" ht="39.75" hidden="false" customHeight="true" outlineLevel="0" collapsed="false">
      <c r="B38" s="8" t="s">
        <v>35</v>
      </c>
      <c r="C38" s="8"/>
      <c r="D38" s="8"/>
      <c r="E38" s="8"/>
      <c r="F38" s="8"/>
      <c r="G38" s="8"/>
      <c r="H38" s="8"/>
    </row>
    <row r="39" customFormat="false" ht="39.75" hidden="false" customHeight="true" outlineLevel="0" collapsed="false">
      <c r="B39" s="8" t="s">
        <v>36</v>
      </c>
      <c r="C39" s="8"/>
      <c r="D39" s="8"/>
      <c r="E39" s="8"/>
      <c r="F39" s="8"/>
      <c r="G39" s="8"/>
      <c r="H39" s="8"/>
    </row>
    <row r="41" customFormat="false" ht="16.15" hidden="false" customHeight="false" outlineLevel="0" collapsed="false">
      <c r="B41" s="9" t="s">
        <v>37</v>
      </c>
    </row>
    <row r="42" customFormat="false" ht="15" hidden="false" customHeight="false" outlineLevel="0" collapsed="false">
      <c r="B42" s="0" t="s">
        <v>38</v>
      </c>
    </row>
    <row r="44" customFormat="false" ht="15" hidden="false" customHeight="false" outlineLevel="0" collapsed="false">
      <c r="B44" s="10" t="s">
        <v>39</v>
      </c>
    </row>
    <row r="45" customFormat="false" ht="15" hidden="false" customHeight="false" outlineLevel="0" collapsed="false">
      <c r="B45" s="10" t="s">
        <v>40</v>
      </c>
      <c r="C45" s="10" t="s">
        <v>41</v>
      </c>
      <c r="D45" s="10" t="s">
        <v>42</v>
      </c>
      <c r="E45" s="10" t="s">
        <v>43</v>
      </c>
      <c r="F45" s="10" t="s">
        <v>44</v>
      </c>
    </row>
    <row r="46" customFormat="false" ht="15" hidden="false" customHeight="false" outlineLevel="0" collapsed="false">
      <c r="B46" s="0" t="s">
        <v>45</v>
      </c>
      <c r="C46" s="0" t="s">
        <v>46</v>
      </c>
      <c r="D46" s="0" t="n">
        <v>5</v>
      </c>
      <c r="E46" s="0" t="n">
        <v>90</v>
      </c>
      <c r="F46" s="0" t="s">
        <v>47</v>
      </c>
    </row>
    <row r="47" customFormat="false" ht="15" hidden="false" customHeight="false" outlineLevel="0" collapsed="false">
      <c r="B47" s="0" t="s">
        <v>48</v>
      </c>
      <c r="C47" s="0" t="s">
        <v>49</v>
      </c>
      <c r="D47" s="0" t="n">
        <v>5</v>
      </c>
      <c r="E47" s="0" t="n">
        <v>0</v>
      </c>
      <c r="F47" s="0" t="s">
        <v>50</v>
      </c>
    </row>
    <row r="48" customFormat="false" ht="15" hidden="false" customHeight="false" outlineLevel="0" collapsed="false">
      <c r="B48" s="0" t="s">
        <v>51</v>
      </c>
      <c r="C48" s="0" t="s">
        <v>52</v>
      </c>
      <c r="D48" s="0" t="n">
        <v>5</v>
      </c>
      <c r="E48" s="0" t="n">
        <v>5</v>
      </c>
      <c r="F48" s="0" t="s">
        <v>53</v>
      </c>
    </row>
    <row r="49" customFormat="false" ht="15" hidden="false" customHeight="false" outlineLevel="0" collapsed="false">
      <c r="B49" s="0" t="s">
        <v>54</v>
      </c>
      <c r="C49" s="0" t="s">
        <v>55</v>
      </c>
      <c r="D49" s="0" t="n">
        <v>10</v>
      </c>
      <c r="E49" s="0" t="n">
        <v>90</v>
      </c>
      <c r="F49" s="0" t="s">
        <v>47</v>
      </c>
    </row>
    <row r="50" customFormat="false" ht="15" hidden="false" customHeight="false" outlineLevel="0" collapsed="false">
      <c r="B50" s="0" t="s">
        <v>56</v>
      </c>
      <c r="C50" s="0" t="s">
        <v>57</v>
      </c>
      <c r="D50" s="0" t="n">
        <v>10</v>
      </c>
      <c r="E50" s="0" t="n">
        <v>90</v>
      </c>
      <c r="F50" s="0" t="s">
        <v>47</v>
      </c>
    </row>
    <row r="51" customFormat="false" ht="15" hidden="false" customHeight="false" outlineLevel="0" collapsed="false">
      <c r="B51" s="0" t="s">
        <v>58</v>
      </c>
      <c r="C51" s="0" t="s">
        <v>59</v>
      </c>
      <c r="D51" s="0" t="n">
        <v>10</v>
      </c>
      <c r="E51" s="0" t="n">
        <v>10</v>
      </c>
      <c r="F51" s="0" t="s">
        <v>53</v>
      </c>
    </row>
    <row r="52" customFormat="false" ht="15" hidden="false" customHeight="false" outlineLevel="0" collapsed="false">
      <c r="B52" s="0" t="s">
        <v>60</v>
      </c>
      <c r="C52" s="0" t="s">
        <v>61</v>
      </c>
      <c r="D52" s="0" t="n">
        <v>10</v>
      </c>
      <c r="E52" s="0" t="n">
        <v>35</v>
      </c>
      <c r="F52" s="0" t="s">
        <v>62</v>
      </c>
    </row>
    <row r="53" customFormat="false" ht="15" hidden="false" customHeight="false" outlineLevel="0" collapsed="false">
      <c r="B53" s="0" t="s">
        <v>63</v>
      </c>
      <c r="C53" s="0" t="s">
        <v>64</v>
      </c>
      <c r="D53" s="0" t="n">
        <v>15</v>
      </c>
      <c r="E53" s="0" t="n">
        <v>90</v>
      </c>
      <c r="F53" s="0" t="s">
        <v>47</v>
      </c>
    </row>
    <row r="54" customFormat="false" ht="15" hidden="false" customHeight="false" outlineLevel="0" collapsed="false">
      <c r="B54" s="0" t="s">
        <v>65</v>
      </c>
      <c r="C54" s="0" t="s">
        <v>66</v>
      </c>
      <c r="D54" s="0" t="n">
        <v>20</v>
      </c>
      <c r="E54" s="0" t="n">
        <v>90</v>
      </c>
      <c r="F54" s="0" t="s">
        <v>47</v>
      </c>
    </row>
    <row r="55" customFormat="false" ht="15" hidden="false" customHeight="false" outlineLevel="0" collapsed="false">
      <c r="B55" s="0" t="s">
        <v>67</v>
      </c>
      <c r="C55" s="0" t="s">
        <v>68</v>
      </c>
      <c r="D55" s="0" t="n">
        <v>20</v>
      </c>
      <c r="E55" s="0" t="n">
        <v>90</v>
      </c>
      <c r="F55" s="0" t="s">
        <v>47</v>
      </c>
    </row>
    <row r="56" customFormat="false" ht="15" hidden="false" customHeight="false" outlineLevel="0" collapsed="false">
      <c r="B56" s="0" t="s">
        <v>69</v>
      </c>
      <c r="C56" s="0" t="s">
        <v>70</v>
      </c>
      <c r="D56" s="0" t="s">
        <v>71</v>
      </c>
      <c r="E56" s="0" t="n">
        <v>90</v>
      </c>
      <c r="F56" s="0" t="s">
        <v>72</v>
      </c>
    </row>
    <row r="57" customFormat="false" ht="15" hidden="false" customHeight="false" outlineLevel="0" collapsed="false">
      <c r="B57" s="0" t="s">
        <v>73</v>
      </c>
      <c r="C57" s="0" t="s">
        <v>74</v>
      </c>
      <c r="D57" s="0" t="n">
        <v>5</v>
      </c>
      <c r="E57" s="0" t="n">
        <v>65</v>
      </c>
      <c r="F57" s="0" t="s">
        <v>62</v>
      </c>
    </row>
    <row r="58" customFormat="false" ht="15" hidden="false" customHeight="false" outlineLevel="0" collapsed="false">
      <c r="B58" s="0" t="s">
        <v>75</v>
      </c>
      <c r="C58" s="0" t="s">
        <v>76</v>
      </c>
      <c r="D58" s="0" t="n">
        <v>2</v>
      </c>
      <c r="E58" s="0" t="n">
        <v>90</v>
      </c>
      <c r="F58" s="0" t="s">
        <v>47</v>
      </c>
    </row>
    <row r="59" customFormat="false" ht="15" hidden="false" customHeight="false" outlineLevel="0" collapsed="false">
      <c r="B59" s="0" t="s">
        <v>77</v>
      </c>
      <c r="C59" s="0" t="s">
        <v>78</v>
      </c>
      <c r="D59" s="0" t="n">
        <v>2</v>
      </c>
      <c r="E59" s="0" t="n">
        <v>90</v>
      </c>
      <c r="F59" s="0" t="s">
        <v>47</v>
      </c>
    </row>
    <row r="60" customFormat="false" ht="15" hidden="false" customHeight="false" outlineLevel="0" collapsed="false">
      <c r="B60" s="0" t="s">
        <v>79</v>
      </c>
      <c r="C60" s="0" t="s">
        <v>80</v>
      </c>
      <c r="D60" s="0" t="n">
        <v>2</v>
      </c>
      <c r="E60" s="0" t="n">
        <v>85</v>
      </c>
      <c r="F60" s="0" t="s">
        <v>47</v>
      </c>
    </row>
    <row r="61" customFormat="false" ht="15" hidden="false" customHeight="false" outlineLevel="0" collapsed="false">
      <c r="B61" s="0" t="s">
        <v>81</v>
      </c>
      <c r="C61" s="0" t="s">
        <v>82</v>
      </c>
      <c r="D61" s="0" t="n">
        <v>2</v>
      </c>
      <c r="E61" s="0" t="n">
        <v>85</v>
      </c>
      <c r="F61" s="0" t="s">
        <v>47</v>
      </c>
    </row>
    <row r="62" customFormat="false" ht="15" hidden="false" customHeight="false" outlineLevel="0" collapsed="false">
      <c r="B62" s="0" t="s">
        <v>83</v>
      </c>
      <c r="C62" s="0" t="s">
        <v>84</v>
      </c>
      <c r="D62" s="0" t="n">
        <v>2</v>
      </c>
      <c r="E62" s="0" t="n">
        <v>85</v>
      </c>
      <c r="F62" s="0" t="s">
        <v>47</v>
      </c>
    </row>
    <row r="63" customFormat="false" ht="15" hidden="false" customHeight="false" outlineLevel="0" collapsed="false">
      <c r="B63" s="0" t="s">
        <v>85</v>
      </c>
      <c r="C63" s="0" t="s">
        <v>86</v>
      </c>
      <c r="D63" s="0" t="n">
        <v>2</v>
      </c>
      <c r="E63" s="0" t="n">
        <v>85</v>
      </c>
      <c r="F63" s="0" t="s">
        <v>47</v>
      </c>
    </row>
    <row r="64" customFormat="false" ht="15" hidden="false" customHeight="false" outlineLevel="0" collapsed="false">
      <c r="B64" s="0" t="s">
        <v>87</v>
      </c>
      <c r="C64" s="0" t="s">
        <v>88</v>
      </c>
      <c r="D64" s="0" t="n">
        <v>2</v>
      </c>
      <c r="E64" s="0" t="n">
        <v>55</v>
      </c>
      <c r="F64" s="0" t="s">
        <v>89</v>
      </c>
    </row>
    <row r="65" customFormat="false" ht="15" hidden="false" customHeight="false" outlineLevel="0" collapsed="false">
      <c r="B65" s="0" t="s">
        <v>90</v>
      </c>
      <c r="C65" s="0" t="s">
        <v>91</v>
      </c>
      <c r="D65" s="0" t="n">
        <v>2</v>
      </c>
      <c r="E65" s="0" t="n">
        <v>85</v>
      </c>
      <c r="F65" s="0" t="s">
        <v>47</v>
      </c>
    </row>
    <row r="66" customFormat="false" ht="15" hidden="false" customHeight="false" outlineLevel="0" collapsed="false">
      <c r="B66" s="0" t="s">
        <v>92</v>
      </c>
      <c r="C66" s="0" t="s">
        <v>93</v>
      </c>
      <c r="D66" s="0" t="n">
        <v>2</v>
      </c>
      <c r="E66" s="0" t="n">
        <v>85</v>
      </c>
      <c r="F66" s="0" t="s">
        <v>47</v>
      </c>
    </row>
    <row r="67" customFormat="false" ht="15" hidden="false" customHeight="false" outlineLevel="0" collapsed="false">
      <c r="B67" s="0" t="s">
        <v>94</v>
      </c>
      <c r="C67" s="0" t="s">
        <v>95</v>
      </c>
      <c r="D67" s="0" t="n">
        <v>2</v>
      </c>
      <c r="E67" s="0" t="n">
        <v>85</v>
      </c>
      <c r="F67" s="0" t="s">
        <v>47</v>
      </c>
    </row>
    <row r="68" customFormat="false" ht="15" hidden="false" customHeight="false" outlineLevel="0" collapsed="false">
      <c r="B68" s="0" t="s">
        <v>96</v>
      </c>
      <c r="C68" s="0" t="s">
        <v>97</v>
      </c>
      <c r="D68" s="0" t="n">
        <v>2</v>
      </c>
      <c r="E68" s="0" t="n">
        <v>85</v>
      </c>
      <c r="F68" s="0" t="s">
        <v>47</v>
      </c>
    </row>
    <row r="69" customFormat="false" ht="15" hidden="false" customHeight="false" outlineLevel="0" collapsed="false">
      <c r="B69" s="0" t="s">
        <v>98</v>
      </c>
      <c r="C69" s="0" t="s">
        <v>99</v>
      </c>
      <c r="D69" s="0" t="n">
        <v>5</v>
      </c>
      <c r="E69" s="0" t="n">
        <v>85</v>
      </c>
      <c r="F69" s="0" t="s">
        <v>47</v>
      </c>
    </row>
    <row r="70" customFormat="false" ht="15" hidden="false" customHeight="false" outlineLevel="0" collapsed="false">
      <c r="B70" s="0" t="s">
        <v>100</v>
      </c>
      <c r="C70" s="0" t="s">
        <v>101</v>
      </c>
      <c r="D70" s="0" t="n">
        <v>5</v>
      </c>
      <c r="E70" s="0" t="n">
        <v>85</v>
      </c>
      <c r="F70" s="0" t="s">
        <v>47</v>
      </c>
    </row>
    <row r="71" customFormat="false" ht="15" hidden="false" customHeight="false" outlineLevel="0" collapsed="false">
      <c r="B71" s="0" t="s">
        <v>102</v>
      </c>
      <c r="C71" s="0" t="s">
        <v>103</v>
      </c>
      <c r="D71" s="0" t="n">
        <v>25</v>
      </c>
      <c r="E71" s="0" t="n">
        <v>90</v>
      </c>
      <c r="F71" s="0" t="s">
        <v>47</v>
      </c>
    </row>
    <row r="72" customFormat="false" ht="15" hidden="false" customHeight="false" outlineLevel="0" collapsed="false">
      <c r="B72" s="0" t="s">
        <v>104</v>
      </c>
      <c r="C72" s="0" t="s">
        <v>105</v>
      </c>
      <c r="D72" s="0" t="n">
        <v>30</v>
      </c>
      <c r="E72" s="0" t="n">
        <v>75</v>
      </c>
      <c r="F72" s="0" t="s">
        <v>62</v>
      </c>
    </row>
    <row r="73" customFormat="false" ht="15" hidden="false" customHeight="false" outlineLevel="0" collapsed="false">
      <c r="B73" s="0" t="s">
        <v>106</v>
      </c>
      <c r="C73" s="0" t="s">
        <v>107</v>
      </c>
      <c r="D73" s="0" t="n">
        <v>30</v>
      </c>
      <c r="E73" s="0" t="n">
        <v>90</v>
      </c>
      <c r="F73" s="0" t="s">
        <v>47</v>
      </c>
    </row>
    <row r="74" customFormat="false" ht="15" hidden="false" customHeight="false" outlineLevel="0" collapsed="false">
      <c r="B74" s="0" t="s">
        <v>108</v>
      </c>
      <c r="C74" s="0" t="s">
        <v>109</v>
      </c>
      <c r="D74" s="0" t="n">
        <v>35</v>
      </c>
      <c r="E74" s="0" t="n">
        <v>95</v>
      </c>
      <c r="F74" s="0" t="s">
        <v>47</v>
      </c>
    </row>
    <row r="75" customFormat="false" ht="15" hidden="false" customHeight="false" outlineLevel="0" collapsed="false">
      <c r="B75" s="0" t="s">
        <v>110</v>
      </c>
      <c r="C75" s="0" t="s">
        <v>111</v>
      </c>
      <c r="D75" s="0" t="n">
        <v>35</v>
      </c>
      <c r="E75" s="0" t="n">
        <v>95</v>
      </c>
      <c r="F75" s="0" t="s">
        <v>47</v>
      </c>
    </row>
    <row r="76" customFormat="false" ht="15" hidden="false" customHeight="false" outlineLevel="0" collapsed="false">
      <c r="B76" s="0" t="s">
        <v>112</v>
      </c>
      <c r="C76" s="0" t="s">
        <v>113</v>
      </c>
      <c r="D76" s="0" t="n">
        <v>50</v>
      </c>
      <c r="E76" s="0" t="n">
        <v>90</v>
      </c>
      <c r="F76" s="0" t="s">
        <v>47</v>
      </c>
    </row>
    <row r="77" customFormat="false" ht="15" hidden="false" customHeight="false" outlineLevel="0" collapsed="false">
      <c r="B77" s="0" t="s">
        <v>114</v>
      </c>
      <c r="C77" s="0" t="s">
        <v>115</v>
      </c>
      <c r="D77" s="0" t="n">
        <v>50</v>
      </c>
      <c r="E77" s="0" t="n">
        <v>90</v>
      </c>
      <c r="F77" s="0" t="s">
        <v>47</v>
      </c>
    </row>
    <row r="78" customFormat="false" ht="15" hidden="false" customHeight="false" outlineLevel="0" collapsed="false">
      <c r="B78" s="0" t="s">
        <v>116</v>
      </c>
      <c r="C78" s="0" t="s">
        <v>117</v>
      </c>
      <c r="D78" s="0" t="n">
        <v>40</v>
      </c>
      <c r="E78" s="0" t="n">
        <v>90</v>
      </c>
      <c r="F78" s="0" t="s">
        <v>47</v>
      </c>
    </row>
    <row r="79" customFormat="false" ht="15" hidden="false" customHeight="false" outlineLevel="0" collapsed="false">
      <c r="B79" s="0" t="s">
        <v>118</v>
      </c>
      <c r="C79" s="0" t="s">
        <v>119</v>
      </c>
      <c r="D79" s="0" t="n">
        <v>90</v>
      </c>
      <c r="E79" s="0" t="n">
        <v>95</v>
      </c>
      <c r="F79" s="0" t="s">
        <v>120</v>
      </c>
    </row>
    <row r="81" customFormat="false" ht="15" hidden="false" customHeight="false" outlineLevel="0" collapsed="false">
      <c r="B81" s="0" t="s">
        <v>121</v>
      </c>
    </row>
  </sheetData>
  <mergeCells count="15">
    <mergeCell ref="B2:H2"/>
    <mergeCell ref="B3:H3"/>
    <mergeCell ref="B5:H5"/>
    <mergeCell ref="B12:H12"/>
    <mergeCell ref="B29:H29"/>
    <mergeCell ref="B30:H30"/>
    <mergeCell ref="B31:H31"/>
    <mergeCell ref="B32:H32"/>
    <mergeCell ref="B33:H33"/>
    <mergeCell ref="B34:H34"/>
    <mergeCell ref="B35:H35"/>
    <mergeCell ref="B36:H36"/>
    <mergeCell ref="B37:H37"/>
    <mergeCell ref="B38:H38"/>
    <mergeCell ref="B39:H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2" activeCellId="0" sqref="E2"/>
    </sheetView>
  </sheetViews>
  <sheetFormatPr defaultColWidth="8.71484375" defaultRowHeight="15" customHeight="false" zeroHeight="false" outlineLevelRow="0" outlineLevelCol="0"/>
  <cols>
    <col collapsed="false" customWidth="true" hidden="false" outlineLevel="0" max="1" min="1" style="0" width="14.57"/>
    <col collapsed="false" customWidth="true" hidden="false" outlineLevel="0" max="2" min="2" style="0" width="18.57"/>
    <col collapsed="false" customWidth="true" hidden="false" outlineLevel="0" max="3" min="3" style="0" width="26.42"/>
    <col collapsed="false" customWidth="true" hidden="false" outlineLevel="0" max="4" min="4" style="0" width="22.86"/>
    <col collapsed="false" customWidth="true" hidden="false" outlineLevel="0" max="5" min="5" style="0" width="41.42"/>
    <col collapsed="false" customWidth="true" hidden="false" outlineLevel="0" max="6" min="6" style="0" width="17.86"/>
    <col collapsed="false" customWidth="true" hidden="false" outlineLevel="0" max="7" min="7" style="0" width="22"/>
    <col collapsed="false" customWidth="true" hidden="false" outlineLevel="0" max="8" min="8" style="0" width="42.14"/>
    <col collapsed="false" customWidth="true" hidden="false" outlineLevel="0" max="9" min="9" style="0" width="12.57"/>
    <col collapsed="false" customWidth="true" hidden="false" outlineLevel="0" max="10" min="10" style="0" width="30.85"/>
    <col collapsed="false" customWidth="true" hidden="false" outlineLevel="0" max="11" min="11" style="0" width="60"/>
  </cols>
  <sheetData>
    <row r="1" customFormat="false" ht="30" hidden="false" customHeight="true" outlineLevel="0" collapsed="false">
      <c r="A1" s="11" t="s">
        <v>122</v>
      </c>
      <c r="B1" s="11" t="s">
        <v>9</v>
      </c>
      <c r="C1" s="11" t="s">
        <v>40</v>
      </c>
      <c r="D1" s="11" t="s">
        <v>41</v>
      </c>
      <c r="E1" s="11" t="s">
        <v>123</v>
      </c>
      <c r="F1" s="11" t="s">
        <v>124</v>
      </c>
      <c r="G1" s="11" t="s">
        <v>125</v>
      </c>
      <c r="H1" s="11" t="s">
        <v>126</v>
      </c>
      <c r="I1" s="11" t="s">
        <v>127</v>
      </c>
      <c r="J1" s="11" t="s">
        <v>128</v>
      </c>
      <c r="K1" s="11" t="s">
        <v>129</v>
      </c>
    </row>
    <row r="2" customFormat="false" ht="89.25" hidden="false" customHeight="true" outlineLevel="0" collapsed="false">
      <c r="A2" s="12" t="s">
        <v>130</v>
      </c>
      <c r="B2" s="12" t="s">
        <v>14</v>
      </c>
      <c r="C2" s="12" t="s">
        <v>131</v>
      </c>
      <c r="D2" s="12" t="s">
        <v>132</v>
      </c>
      <c r="E2" s="12" t="s">
        <v>133</v>
      </c>
      <c r="F2" s="12" t="s">
        <v>134</v>
      </c>
      <c r="G2" s="12" t="s">
        <v>134</v>
      </c>
      <c r="H2" s="13" t="s">
        <v>135</v>
      </c>
      <c r="I2" s="14" t="n">
        <v>0</v>
      </c>
      <c r="J2" s="12" t="s">
        <v>136</v>
      </c>
      <c r="K2" s="13" t="s">
        <v>137</v>
      </c>
    </row>
    <row r="3" customFormat="false" ht="15" hidden="false" customHeight="false" outlineLevel="0" collapsed="false">
      <c r="A3" s="15" t="s">
        <v>130</v>
      </c>
      <c r="B3" s="15" t="s">
        <v>14</v>
      </c>
      <c r="C3" s="15" t="s">
        <v>138</v>
      </c>
      <c r="D3" s="15" t="s">
        <v>139</v>
      </c>
      <c r="E3" s="15" t="s">
        <v>140</v>
      </c>
      <c r="F3" s="15" t="s">
        <v>134</v>
      </c>
      <c r="G3" s="15" t="s">
        <v>134</v>
      </c>
      <c r="H3" s="16" t="s">
        <v>141</v>
      </c>
      <c r="I3" s="17" t="n">
        <v>0</v>
      </c>
      <c r="J3" s="15" t="s">
        <v>136</v>
      </c>
      <c r="K3" s="16" t="s">
        <v>142</v>
      </c>
    </row>
    <row r="4" customFormat="false" ht="15" hidden="false" customHeight="false" outlineLevel="0" collapsed="false">
      <c r="A4" s="12" t="s">
        <v>130</v>
      </c>
      <c r="B4" s="12" t="s">
        <v>14</v>
      </c>
      <c r="C4" s="12" t="s">
        <v>143</v>
      </c>
      <c r="D4" s="12" t="s">
        <v>144</v>
      </c>
      <c r="E4" s="12" t="s">
        <v>140</v>
      </c>
      <c r="F4" s="12" t="s">
        <v>134</v>
      </c>
      <c r="G4" s="12" t="s">
        <v>134</v>
      </c>
      <c r="H4" s="13" t="s">
        <v>141</v>
      </c>
      <c r="I4" s="14" t="n">
        <v>0</v>
      </c>
      <c r="J4" s="12" t="s">
        <v>136</v>
      </c>
      <c r="K4" s="13" t="s">
        <v>142</v>
      </c>
    </row>
    <row r="5" customFormat="false" ht="38.25" hidden="false" customHeight="true" outlineLevel="0" collapsed="false">
      <c r="A5" s="12" t="s">
        <v>145</v>
      </c>
      <c r="B5" s="12" t="s">
        <v>23</v>
      </c>
      <c r="C5" s="12" t="s">
        <v>146</v>
      </c>
      <c r="D5" s="12" t="s">
        <v>132</v>
      </c>
      <c r="E5" s="12" t="s">
        <v>147</v>
      </c>
      <c r="F5" s="12" t="s">
        <v>134</v>
      </c>
      <c r="G5" s="12" t="s">
        <v>134</v>
      </c>
      <c r="H5" s="13" t="s">
        <v>148</v>
      </c>
      <c r="I5" s="14" t="n">
        <v>0</v>
      </c>
      <c r="J5" s="12" t="s">
        <v>149</v>
      </c>
      <c r="K5" s="13" t="s">
        <v>150</v>
      </c>
    </row>
    <row r="6" customFormat="false" ht="25.5" hidden="false" customHeight="true" outlineLevel="0" collapsed="false">
      <c r="A6" s="15" t="s">
        <v>145</v>
      </c>
      <c r="B6" s="15" t="s">
        <v>23</v>
      </c>
      <c r="C6" s="15" t="s">
        <v>151</v>
      </c>
      <c r="D6" s="15" t="s">
        <v>152</v>
      </c>
      <c r="E6" s="15" t="s">
        <v>153</v>
      </c>
      <c r="F6" s="15" t="s">
        <v>154</v>
      </c>
      <c r="G6" s="15" t="s">
        <v>134</v>
      </c>
      <c r="H6" s="16" t="s">
        <v>155</v>
      </c>
      <c r="I6" s="17" t="n">
        <v>0</v>
      </c>
      <c r="J6" s="15" t="s">
        <v>156</v>
      </c>
      <c r="K6" s="16" t="s">
        <v>157</v>
      </c>
    </row>
    <row r="7" customFormat="false" ht="51" hidden="false" customHeight="true" outlineLevel="0" collapsed="false">
      <c r="A7" s="12" t="s">
        <v>158</v>
      </c>
      <c r="B7" s="12" t="s">
        <v>159</v>
      </c>
      <c r="C7" s="12" t="s">
        <v>160</v>
      </c>
      <c r="D7" s="12" t="s">
        <v>161</v>
      </c>
      <c r="E7" s="12" t="s">
        <v>162</v>
      </c>
      <c r="F7" s="12" t="s">
        <v>163</v>
      </c>
      <c r="G7" s="12" t="s">
        <v>163</v>
      </c>
      <c r="H7" s="13" t="s">
        <v>164</v>
      </c>
      <c r="I7" s="14" t="n">
        <v>0</v>
      </c>
      <c r="J7" s="12" t="s">
        <v>165</v>
      </c>
      <c r="K7" s="13" t="s">
        <v>166</v>
      </c>
    </row>
    <row r="8" customFormat="false" ht="25.5" hidden="false" customHeight="true" outlineLevel="0" collapsed="false">
      <c r="A8" s="15" t="s">
        <v>130</v>
      </c>
      <c r="B8" s="15" t="s">
        <v>16</v>
      </c>
      <c r="C8" s="15" t="s">
        <v>79</v>
      </c>
      <c r="D8" s="15" t="s">
        <v>80</v>
      </c>
      <c r="E8" s="15" t="s">
        <v>134</v>
      </c>
      <c r="F8" s="15" t="s">
        <v>134</v>
      </c>
      <c r="G8" s="15" t="s">
        <v>134</v>
      </c>
      <c r="H8" s="16" t="s">
        <v>167</v>
      </c>
      <c r="I8" s="17" t="n">
        <v>85</v>
      </c>
      <c r="J8" s="15" t="s">
        <v>168</v>
      </c>
      <c r="K8" s="16" t="s">
        <v>169</v>
      </c>
    </row>
    <row r="9" customFormat="false" ht="25.5" hidden="false" customHeight="true" outlineLevel="0" collapsed="false">
      <c r="A9" s="15" t="s">
        <v>130</v>
      </c>
      <c r="B9" s="15" t="s">
        <v>16</v>
      </c>
      <c r="C9" s="15" t="s">
        <v>77</v>
      </c>
      <c r="D9" s="15" t="s">
        <v>78</v>
      </c>
      <c r="E9" s="15" t="s">
        <v>134</v>
      </c>
      <c r="F9" s="15" t="s">
        <v>134</v>
      </c>
      <c r="G9" s="15" t="s">
        <v>134</v>
      </c>
      <c r="H9" s="16" t="s">
        <v>170</v>
      </c>
      <c r="I9" s="17" t="n">
        <v>90</v>
      </c>
      <c r="J9" s="15" t="s">
        <v>168</v>
      </c>
      <c r="K9" s="16" t="s">
        <v>171</v>
      </c>
    </row>
    <row r="10" customFormat="false" ht="25.5" hidden="false" customHeight="true" outlineLevel="0" collapsed="false">
      <c r="A10" s="15" t="s">
        <v>130</v>
      </c>
      <c r="B10" s="15" t="s">
        <v>16</v>
      </c>
      <c r="C10" s="15" t="s">
        <v>172</v>
      </c>
      <c r="D10" s="15" t="s">
        <v>82</v>
      </c>
      <c r="E10" s="15" t="s">
        <v>134</v>
      </c>
      <c r="F10" s="15" t="s">
        <v>134</v>
      </c>
      <c r="G10" s="15" t="s">
        <v>134</v>
      </c>
      <c r="H10" s="16" t="s">
        <v>173</v>
      </c>
      <c r="I10" s="17" t="n">
        <v>85</v>
      </c>
      <c r="J10" s="15" t="s">
        <v>168</v>
      </c>
      <c r="K10" s="16" t="s">
        <v>174</v>
      </c>
    </row>
    <row r="11" customFormat="false" ht="25.5" hidden="false" customHeight="true" outlineLevel="0" collapsed="false">
      <c r="A11" s="12" t="s">
        <v>130</v>
      </c>
      <c r="B11" s="12" t="s">
        <v>16</v>
      </c>
      <c r="C11" s="12" t="s">
        <v>175</v>
      </c>
      <c r="D11" s="12" t="s">
        <v>84</v>
      </c>
      <c r="E11" s="12" t="s">
        <v>134</v>
      </c>
      <c r="F11" s="12" t="s">
        <v>134</v>
      </c>
      <c r="G11" s="12" t="s">
        <v>134</v>
      </c>
      <c r="H11" s="13" t="s">
        <v>176</v>
      </c>
      <c r="I11" s="14" t="n">
        <v>85</v>
      </c>
      <c r="J11" s="12" t="s">
        <v>168</v>
      </c>
      <c r="K11" s="13" t="s">
        <v>174</v>
      </c>
    </row>
    <row r="12" customFormat="false" ht="25.5" hidden="false" customHeight="true" outlineLevel="0" collapsed="false">
      <c r="A12" s="15" t="s">
        <v>130</v>
      </c>
      <c r="B12" s="15" t="s">
        <v>16</v>
      </c>
      <c r="C12" s="15" t="s">
        <v>87</v>
      </c>
      <c r="D12" s="15" t="s">
        <v>88</v>
      </c>
      <c r="E12" s="15" t="s">
        <v>177</v>
      </c>
      <c r="F12" s="15" t="s">
        <v>134</v>
      </c>
      <c r="G12" s="15" t="s">
        <v>134</v>
      </c>
      <c r="H12" s="16" t="s">
        <v>178</v>
      </c>
      <c r="I12" s="17" t="n">
        <v>55</v>
      </c>
      <c r="J12" s="15" t="s">
        <v>179</v>
      </c>
      <c r="K12" s="16" t="s">
        <v>180</v>
      </c>
    </row>
    <row r="13" customFormat="false" ht="25.5" hidden="false" customHeight="true" outlineLevel="0" collapsed="false">
      <c r="A13" s="12" t="s">
        <v>130</v>
      </c>
      <c r="B13" s="12" t="s">
        <v>16</v>
      </c>
      <c r="C13" s="12" t="s">
        <v>181</v>
      </c>
      <c r="D13" s="12" t="s">
        <v>86</v>
      </c>
      <c r="E13" s="12" t="s">
        <v>134</v>
      </c>
      <c r="F13" s="12" t="s">
        <v>134</v>
      </c>
      <c r="G13" s="12" t="s">
        <v>134</v>
      </c>
      <c r="H13" s="13" t="s">
        <v>182</v>
      </c>
      <c r="I13" s="14" t="n">
        <v>85</v>
      </c>
      <c r="J13" s="12" t="s">
        <v>168</v>
      </c>
      <c r="K13" s="13" t="s">
        <v>174</v>
      </c>
    </row>
    <row r="14" customFormat="false" ht="25.5" hidden="false" customHeight="true" outlineLevel="0" collapsed="false">
      <c r="A14" s="15" t="s">
        <v>130</v>
      </c>
      <c r="B14" s="15" t="s">
        <v>16</v>
      </c>
      <c r="C14" s="15" t="s">
        <v>75</v>
      </c>
      <c r="D14" s="15" t="s">
        <v>76</v>
      </c>
      <c r="E14" s="15" t="s">
        <v>134</v>
      </c>
      <c r="F14" s="15" t="s">
        <v>134</v>
      </c>
      <c r="G14" s="15" t="s">
        <v>134</v>
      </c>
      <c r="H14" s="16" t="s">
        <v>183</v>
      </c>
      <c r="I14" s="17" t="n">
        <v>90</v>
      </c>
      <c r="J14" s="15" t="s">
        <v>168</v>
      </c>
      <c r="K14" s="16" t="s">
        <v>184</v>
      </c>
    </row>
    <row r="15" customFormat="false" ht="25.5" hidden="false" customHeight="true" outlineLevel="0" collapsed="false">
      <c r="A15" s="15" t="s">
        <v>130</v>
      </c>
      <c r="B15" s="15" t="s">
        <v>16</v>
      </c>
      <c r="C15" s="15" t="s">
        <v>90</v>
      </c>
      <c r="D15" s="15" t="s">
        <v>91</v>
      </c>
      <c r="E15" s="15" t="s">
        <v>134</v>
      </c>
      <c r="F15" s="15" t="s">
        <v>134</v>
      </c>
      <c r="G15" s="15" t="s">
        <v>134</v>
      </c>
      <c r="H15" s="16" t="s">
        <v>185</v>
      </c>
      <c r="I15" s="17" t="n">
        <v>85</v>
      </c>
      <c r="J15" s="15" t="s">
        <v>168</v>
      </c>
      <c r="K15" s="16" t="s">
        <v>186</v>
      </c>
    </row>
    <row r="16" customFormat="false" ht="25.5" hidden="false" customHeight="true" outlineLevel="0" collapsed="false">
      <c r="A16" s="12" t="s">
        <v>130</v>
      </c>
      <c r="B16" s="12" t="s">
        <v>16</v>
      </c>
      <c r="C16" s="12" t="s">
        <v>92</v>
      </c>
      <c r="D16" s="12" t="s">
        <v>93</v>
      </c>
      <c r="E16" s="12" t="s">
        <v>134</v>
      </c>
      <c r="F16" s="12" t="s">
        <v>134</v>
      </c>
      <c r="G16" s="12" t="s">
        <v>134</v>
      </c>
      <c r="H16" s="13" t="s">
        <v>187</v>
      </c>
      <c r="I16" s="14" t="n">
        <v>85</v>
      </c>
      <c r="J16" s="12" t="s">
        <v>168</v>
      </c>
      <c r="K16" s="13" t="s">
        <v>188</v>
      </c>
    </row>
    <row r="17" customFormat="false" ht="25.5" hidden="false" customHeight="true" outlineLevel="0" collapsed="false">
      <c r="A17" s="15" t="s">
        <v>130</v>
      </c>
      <c r="B17" s="15" t="s">
        <v>16</v>
      </c>
      <c r="C17" s="15" t="s">
        <v>94</v>
      </c>
      <c r="D17" s="15" t="s">
        <v>95</v>
      </c>
      <c r="E17" s="15" t="s">
        <v>134</v>
      </c>
      <c r="F17" s="15" t="s">
        <v>134</v>
      </c>
      <c r="G17" s="15" t="s">
        <v>134</v>
      </c>
      <c r="H17" s="16" t="s">
        <v>189</v>
      </c>
      <c r="I17" s="17" t="n">
        <v>85</v>
      </c>
      <c r="J17" s="15" t="s">
        <v>168</v>
      </c>
      <c r="K17" s="16" t="s">
        <v>188</v>
      </c>
    </row>
    <row r="18" customFormat="false" ht="25.5" hidden="false" customHeight="true" outlineLevel="0" collapsed="false">
      <c r="A18" s="12" t="s">
        <v>130</v>
      </c>
      <c r="B18" s="12" t="s">
        <v>16</v>
      </c>
      <c r="C18" s="12" t="s">
        <v>96</v>
      </c>
      <c r="D18" s="12" t="s">
        <v>97</v>
      </c>
      <c r="E18" s="12" t="s">
        <v>134</v>
      </c>
      <c r="F18" s="12" t="s">
        <v>134</v>
      </c>
      <c r="G18" s="12" t="s">
        <v>134</v>
      </c>
      <c r="H18" s="13" t="s">
        <v>190</v>
      </c>
      <c r="I18" s="14" t="n">
        <v>85</v>
      </c>
      <c r="J18" s="12" t="s">
        <v>168</v>
      </c>
      <c r="K18" s="13" t="s">
        <v>188</v>
      </c>
    </row>
    <row r="19" customFormat="false" ht="38.25" hidden="false" customHeight="true" outlineLevel="0" collapsed="false">
      <c r="A19" s="12" t="s">
        <v>191</v>
      </c>
      <c r="B19" s="12" t="s">
        <v>13</v>
      </c>
      <c r="C19" s="12" t="s">
        <v>192</v>
      </c>
      <c r="D19" s="12" t="s">
        <v>193</v>
      </c>
      <c r="E19" s="12" t="s">
        <v>134</v>
      </c>
      <c r="F19" s="12" t="s">
        <v>134</v>
      </c>
      <c r="G19" s="12" t="s">
        <v>134</v>
      </c>
      <c r="H19" s="13" t="s">
        <v>194</v>
      </c>
      <c r="I19" s="14" t="n">
        <v>5</v>
      </c>
      <c r="J19" s="12" t="s">
        <v>195</v>
      </c>
      <c r="K19" s="13" t="s">
        <v>196</v>
      </c>
    </row>
    <row r="20" customFormat="false" ht="25.5" hidden="false" customHeight="true" outlineLevel="0" collapsed="false">
      <c r="A20" s="12" t="s">
        <v>130</v>
      </c>
      <c r="B20" s="12" t="s">
        <v>16</v>
      </c>
      <c r="C20" s="12" t="s">
        <v>98</v>
      </c>
      <c r="D20" s="12" t="s">
        <v>99</v>
      </c>
      <c r="E20" s="12" t="s">
        <v>134</v>
      </c>
      <c r="F20" s="12" t="s">
        <v>134</v>
      </c>
      <c r="G20" s="12" t="s">
        <v>134</v>
      </c>
      <c r="H20" s="13" t="s">
        <v>197</v>
      </c>
      <c r="I20" s="14" t="n">
        <v>85</v>
      </c>
      <c r="J20" s="12" t="s">
        <v>168</v>
      </c>
      <c r="K20" s="13" t="s">
        <v>198</v>
      </c>
    </row>
    <row r="21" customFormat="false" ht="25.5" hidden="false" customHeight="true" outlineLevel="0" collapsed="false">
      <c r="A21" s="15" t="s">
        <v>130</v>
      </c>
      <c r="B21" s="15" t="s">
        <v>16</v>
      </c>
      <c r="C21" s="15" t="s">
        <v>100</v>
      </c>
      <c r="D21" s="15" t="s">
        <v>101</v>
      </c>
      <c r="E21" s="15" t="s">
        <v>134</v>
      </c>
      <c r="F21" s="15" t="s">
        <v>134</v>
      </c>
      <c r="G21" s="15" t="s">
        <v>134</v>
      </c>
      <c r="H21" s="16" t="s">
        <v>199</v>
      </c>
      <c r="I21" s="17" t="n">
        <v>85</v>
      </c>
      <c r="J21" s="15" t="s">
        <v>168</v>
      </c>
      <c r="K21" s="16" t="s">
        <v>200</v>
      </c>
    </row>
    <row r="22" customFormat="false" ht="25.5" hidden="false" customHeight="true" outlineLevel="0" collapsed="false">
      <c r="A22" s="15" t="s">
        <v>130</v>
      </c>
      <c r="B22" s="15" t="s">
        <v>16</v>
      </c>
      <c r="C22" s="15" t="s">
        <v>201</v>
      </c>
      <c r="D22" s="15" t="s">
        <v>74</v>
      </c>
      <c r="E22" s="15" t="s">
        <v>134</v>
      </c>
      <c r="F22" s="15" t="s">
        <v>134</v>
      </c>
      <c r="G22" s="15" t="s">
        <v>134</v>
      </c>
      <c r="H22" s="16" t="s">
        <v>202</v>
      </c>
      <c r="I22" s="17" t="n">
        <v>65</v>
      </c>
      <c r="J22" s="15" t="s">
        <v>203</v>
      </c>
      <c r="K22" s="16" t="s">
        <v>204</v>
      </c>
    </row>
    <row r="23" customFormat="false" ht="38.25" hidden="false" customHeight="true" outlineLevel="0" collapsed="false">
      <c r="A23" s="15" t="s">
        <v>130</v>
      </c>
      <c r="B23" s="15" t="s">
        <v>17</v>
      </c>
      <c r="C23" s="15" t="s">
        <v>205</v>
      </c>
      <c r="D23" s="15" t="s">
        <v>206</v>
      </c>
      <c r="E23" s="15" t="s">
        <v>134</v>
      </c>
      <c r="F23" s="15" t="s">
        <v>134</v>
      </c>
      <c r="G23" s="15" t="s">
        <v>134</v>
      </c>
      <c r="H23" s="16" t="s">
        <v>207</v>
      </c>
      <c r="I23" s="17" t="n">
        <v>5</v>
      </c>
      <c r="J23" s="15" t="s">
        <v>195</v>
      </c>
      <c r="K23" s="16" t="s">
        <v>208</v>
      </c>
    </row>
    <row r="24" customFormat="false" ht="15" hidden="false" customHeight="false" outlineLevel="0" collapsed="false">
      <c r="A24" s="12" t="s">
        <v>130</v>
      </c>
      <c r="B24" s="12" t="s">
        <v>17</v>
      </c>
      <c r="C24" s="12" t="s">
        <v>209</v>
      </c>
      <c r="D24" s="12" t="s">
        <v>210</v>
      </c>
      <c r="E24" s="12" t="s">
        <v>134</v>
      </c>
      <c r="F24" s="12" t="s">
        <v>134</v>
      </c>
      <c r="G24" s="12" t="s">
        <v>134</v>
      </c>
      <c r="H24" s="13" t="s">
        <v>211</v>
      </c>
      <c r="I24" s="14" t="n">
        <v>5</v>
      </c>
      <c r="J24" s="12" t="s">
        <v>195</v>
      </c>
      <c r="K24" s="13"/>
    </row>
    <row r="25" customFormat="false" ht="15" hidden="false" customHeight="false" outlineLevel="0" collapsed="false">
      <c r="A25" s="15" t="s">
        <v>130</v>
      </c>
      <c r="B25" s="15" t="s">
        <v>17</v>
      </c>
      <c r="C25" s="15" t="s">
        <v>212</v>
      </c>
      <c r="D25" s="15" t="s">
        <v>213</v>
      </c>
      <c r="E25" s="15" t="s">
        <v>134</v>
      </c>
      <c r="F25" s="15" t="s">
        <v>134</v>
      </c>
      <c r="G25" s="15" t="s">
        <v>134</v>
      </c>
      <c r="H25" s="16" t="s">
        <v>211</v>
      </c>
      <c r="I25" s="17" t="n">
        <v>5</v>
      </c>
      <c r="J25" s="15" t="s">
        <v>195</v>
      </c>
      <c r="K25" s="16"/>
    </row>
    <row r="26" customFormat="false" ht="15" hidden="false" customHeight="false" outlineLevel="0" collapsed="false">
      <c r="A26" s="12" t="s">
        <v>130</v>
      </c>
      <c r="B26" s="12" t="s">
        <v>17</v>
      </c>
      <c r="C26" s="12" t="s">
        <v>214</v>
      </c>
      <c r="D26" s="12" t="s">
        <v>215</v>
      </c>
      <c r="E26" s="12" t="s">
        <v>134</v>
      </c>
      <c r="F26" s="12" t="s">
        <v>134</v>
      </c>
      <c r="G26" s="12" t="s">
        <v>134</v>
      </c>
      <c r="H26" s="13" t="s">
        <v>211</v>
      </c>
      <c r="I26" s="14" t="n">
        <v>5</v>
      </c>
      <c r="J26" s="12" t="s">
        <v>195</v>
      </c>
      <c r="K26" s="13"/>
    </row>
    <row r="27" customFormat="false" ht="15" hidden="false" customHeight="false" outlineLevel="0" collapsed="false">
      <c r="A27" s="15" t="s">
        <v>130</v>
      </c>
      <c r="B27" s="15" t="s">
        <v>17</v>
      </c>
      <c r="C27" s="15" t="s">
        <v>216</v>
      </c>
      <c r="D27" s="15" t="s">
        <v>217</v>
      </c>
      <c r="E27" s="15" t="s">
        <v>134</v>
      </c>
      <c r="F27" s="15" t="s">
        <v>134</v>
      </c>
      <c r="G27" s="15" t="s">
        <v>134</v>
      </c>
      <c r="H27" s="16" t="s">
        <v>211</v>
      </c>
      <c r="I27" s="17" t="n">
        <v>5</v>
      </c>
      <c r="J27" s="15" t="s">
        <v>195</v>
      </c>
      <c r="K27" s="16" t="s">
        <v>218</v>
      </c>
    </row>
    <row r="28" customFormat="false" ht="15" hidden="false" customHeight="false" outlineLevel="0" collapsed="false">
      <c r="A28" s="12" t="s">
        <v>130</v>
      </c>
      <c r="B28" s="12" t="s">
        <v>17</v>
      </c>
      <c r="C28" s="12" t="s">
        <v>219</v>
      </c>
      <c r="D28" s="12" t="s">
        <v>220</v>
      </c>
      <c r="E28" s="12" t="s">
        <v>134</v>
      </c>
      <c r="F28" s="12" t="s">
        <v>134</v>
      </c>
      <c r="G28" s="12" t="s">
        <v>134</v>
      </c>
      <c r="H28" s="13" t="s">
        <v>211</v>
      </c>
      <c r="I28" s="14" t="n">
        <v>5</v>
      </c>
      <c r="J28" s="12" t="s">
        <v>195</v>
      </c>
      <c r="K28" s="13"/>
    </row>
    <row r="29" customFormat="false" ht="25.5" hidden="false" customHeight="true" outlineLevel="0" collapsed="false">
      <c r="A29" s="15" t="s">
        <v>130</v>
      </c>
      <c r="B29" s="15" t="s">
        <v>18</v>
      </c>
      <c r="C29" s="15" t="s">
        <v>221</v>
      </c>
      <c r="D29" s="15" t="s">
        <v>222</v>
      </c>
      <c r="E29" s="15" t="s">
        <v>134</v>
      </c>
      <c r="F29" s="15" t="s">
        <v>134</v>
      </c>
      <c r="G29" s="15" t="s">
        <v>134</v>
      </c>
      <c r="H29" s="16" t="s">
        <v>223</v>
      </c>
      <c r="I29" s="17" t="n">
        <v>5</v>
      </c>
      <c r="J29" s="15" t="s">
        <v>195</v>
      </c>
      <c r="K29" s="16" t="s">
        <v>224</v>
      </c>
    </row>
    <row r="30" customFormat="false" ht="51" hidden="false" customHeight="true" outlineLevel="0" collapsed="false">
      <c r="A30" s="15" t="s">
        <v>130</v>
      </c>
      <c r="B30" s="15" t="s">
        <v>21</v>
      </c>
      <c r="C30" s="15" t="s">
        <v>45</v>
      </c>
      <c r="D30" s="15" t="s">
        <v>46</v>
      </c>
      <c r="E30" s="15" t="s">
        <v>134</v>
      </c>
      <c r="F30" s="15" t="s">
        <v>134</v>
      </c>
      <c r="G30" s="15" t="s">
        <v>134</v>
      </c>
      <c r="H30" s="16" t="s">
        <v>225</v>
      </c>
      <c r="I30" s="17" t="n">
        <v>90</v>
      </c>
      <c r="J30" s="15" t="s">
        <v>168</v>
      </c>
      <c r="K30" s="16" t="s">
        <v>226</v>
      </c>
    </row>
    <row r="31" customFormat="false" ht="63.75" hidden="false" customHeight="true" outlineLevel="0" collapsed="false">
      <c r="A31" s="12" t="s">
        <v>130</v>
      </c>
      <c r="B31" s="12" t="s">
        <v>21</v>
      </c>
      <c r="C31" s="12" t="s">
        <v>48</v>
      </c>
      <c r="D31" s="12" t="s">
        <v>49</v>
      </c>
      <c r="E31" s="12" t="s">
        <v>227</v>
      </c>
      <c r="F31" s="12" t="s">
        <v>228</v>
      </c>
      <c r="G31" s="12" t="s">
        <v>228</v>
      </c>
      <c r="H31" s="13" t="s">
        <v>229</v>
      </c>
      <c r="I31" s="14" t="n">
        <v>0</v>
      </c>
      <c r="J31" s="12" t="s">
        <v>230</v>
      </c>
      <c r="K31" s="13" t="s">
        <v>231</v>
      </c>
    </row>
    <row r="32" customFormat="false" ht="38.25" hidden="false" customHeight="true" outlineLevel="0" collapsed="false">
      <c r="A32" s="15" t="s">
        <v>145</v>
      </c>
      <c r="B32" s="15" t="s">
        <v>22</v>
      </c>
      <c r="C32" s="15" t="s">
        <v>51</v>
      </c>
      <c r="D32" s="15" t="s">
        <v>52</v>
      </c>
      <c r="E32" s="15" t="s">
        <v>134</v>
      </c>
      <c r="F32" s="15" t="s">
        <v>134</v>
      </c>
      <c r="G32" s="15" t="s">
        <v>134</v>
      </c>
      <c r="H32" s="16" t="s">
        <v>232</v>
      </c>
      <c r="I32" s="17" t="n">
        <v>5</v>
      </c>
      <c r="J32" s="15" t="s">
        <v>233</v>
      </c>
      <c r="K32" s="16" t="s">
        <v>234</v>
      </c>
    </row>
    <row r="33" customFormat="false" ht="38.25" hidden="false" customHeight="true" outlineLevel="0" collapsed="false">
      <c r="A33" s="12" t="s">
        <v>191</v>
      </c>
      <c r="B33" s="12" t="s">
        <v>13</v>
      </c>
      <c r="C33" s="12" t="s">
        <v>54</v>
      </c>
      <c r="D33" s="12" t="s">
        <v>55</v>
      </c>
      <c r="E33" s="12" t="s">
        <v>134</v>
      </c>
      <c r="F33" s="12" t="s">
        <v>134</v>
      </c>
      <c r="G33" s="12" t="s">
        <v>134</v>
      </c>
      <c r="H33" s="13" t="s">
        <v>235</v>
      </c>
      <c r="I33" s="14" t="n">
        <v>90</v>
      </c>
      <c r="J33" s="12" t="s">
        <v>168</v>
      </c>
      <c r="K33" s="13" t="s">
        <v>236</v>
      </c>
    </row>
    <row r="34" customFormat="false" ht="63.75" hidden="false" customHeight="true" outlineLevel="0" collapsed="false">
      <c r="A34" s="12" t="s">
        <v>130</v>
      </c>
      <c r="B34" s="12" t="s">
        <v>16</v>
      </c>
      <c r="C34" s="12" t="s">
        <v>56</v>
      </c>
      <c r="D34" s="12" t="s">
        <v>57</v>
      </c>
      <c r="E34" s="12" t="s">
        <v>134</v>
      </c>
      <c r="F34" s="12" t="s">
        <v>134</v>
      </c>
      <c r="G34" s="12" t="s">
        <v>134</v>
      </c>
      <c r="H34" s="13" t="s">
        <v>237</v>
      </c>
      <c r="I34" s="14" t="n">
        <v>90</v>
      </c>
      <c r="J34" s="12" t="s">
        <v>168</v>
      </c>
      <c r="K34" s="13" t="s">
        <v>238</v>
      </c>
    </row>
    <row r="35" customFormat="false" ht="25.5" hidden="false" customHeight="true" outlineLevel="0" collapsed="false">
      <c r="A35" s="15" t="s">
        <v>130</v>
      </c>
      <c r="B35" s="15" t="s">
        <v>16</v>
      </c>
      <c r="C35" s="15" t="s">
        <v>239</v>
      </c>
      <c r="D35" s="15" t="s">
        <v>240</v>
      </c>
      <c r="E35" s="15" t="s">
        <v>134</v>
      </c>
      <c r="F35" s="15" t="s">
        <v>134</v>
      </c>
      <c r="G35" s="15" t="s">
        <v>134</v>
      </c>
      <c r="H35" s="16" t="s">
        <v>241</v>
      </c>
      <c r="I35" s="17" t="n">
        <v>10</v>
      </c>
      <c r="J35" s="15" t="s">
        <v>242</v>
      </c>
      <c r="K35" s="16" t="s">
        <v>243</v>
      </c>
    </row>
    <row r="36" customFormat="false" ht="38.25" hidden="false" customHeight="true" outlineLevel="0" collapsed="false">
      <c r="A36" s="15" t="s">
        <v>130</v>
      </c>
      <c r="B36" s="15" t="s">
        <v>16</v>
      </c>
      <c r="C36" s="15" t="s">
        <v>244</v>
      </c>
      <c r="D36" s="15" t="s">
        <v>245</v>
      </c>
      <c r="E36" s="15" t="s">
        <v>134</v>
      </c>
      <c r="F36" s="15" t="s">
        <v>134</v>
      </c>
      <c r="G36" s="15" t="s">
        <v>134</v>
      </c>
      <c r="H36" s="16" t="s">
        <v>211</v>
      </c>
      <c r="I36" s="17" t="n">
        <v>10</v>
      </c>
      <c r="J36" s="15" t="s">
        <v>242</v>
      </c>
      <c r="K36" s="16" t="s">
        <v>246</v>
      </c>
    </row>
    <row r="37" customFormat="false" ht="15" hidden="false" customHeight="false" outlineLevel="0" collapsed="false">
      <c r="A37" s="12" t="s">
        <v>130</v>
      </c>
      <c r="B37" s="12" t="s">
        <v>16</v>
      </c>
      <c r="C37" s="12" t="s">
        <v>247</v>
      </c>
      <c r="D37" s="12" t="s">
        <v>248</v>
      </c>
      <c r="E37" s="12" t="s">
        <v>134</v>
      </c>
      <c r="F37" s="12" t="s">
        <v>134</v>
      </c>
      <c r="G37" s="12" t="s">
        <v>134</v>
      </c>
      <c r="H37" s="13" t="s">
        <v>211</v>
      </c>
      <c r="I37" s="14" t="n">
        <v>10</v>
      </c>
      <c r="J37" s="12" t="s">
        <v>242</v>
      </c>
      <c r="K37" s="13" t="s">
        <v>249</v>
      </c>
    </row>
    <row r="38" customFormat="false" ht="76.5" hidden="false" customHeight="true" outlineLevel="0" collapsed="false">
      <c r="A38" s="15" t="s">
        <v>145</v>
      </c>
      <c r="B38" s="15" t="s">
        <v>23</v>
      </c>
      <c r="C38" s="15" t="s">
        <v>250</v>
      </c>
      <c r="D38" s="15" t="s">
        <v>251</v>
      </c>
      <c r="E38" s="15" t="s">
        <v>252</v>
      </c>
      <c r="F38" s="15" t="s">
        <v>134</v>
      </c>
      <c r="G38" s="15" t="s">
        <v>134</v>
      </c>
      <c r="H38" s="16" t="s">
        <v>253</v>
      </c>
      <c r="I38" s="17" t="n">
        <v>10</v>
      </c>
      <c r="J38" s="15" t="s">
        <v>254</v>
      </c>
      <c r="K38" s="16" t="s">
        <v>255</v>
      </c>
    </row>
    <row r="39" customFormat="false" ht="15" hidden="false" customHeight="false" outlineLevel="0" collapsed="false">
      <c r="A39" s="12" t="s">
        <v>145</v>
      </c>
      <c r="B39" s="12" t="s">
        <v>23</v>
      </c>
      <c r="C39" s="12" t="s">
        <v>256</v>
      </c>
      <c r="D39" s="12" t="s">
        <v>257</v>
      </c>
      <c r="E39" s="12" t="s">
        <v>252</v>
      </c>
      <c r="F39" s="12" t="s">
        <v>134</v>
      </c>
      <c r="G39" s="12" t="s">
        <v>134</v>
      </c>
      <c r="H39" s="13" t="s">
        <v>258</v>
      </c>
      <c r="I39" s="14" t="n">
        <v>10</v>
      </c>
      <c r="J39" s="12" t="s">
        <v>254</v>
      </c>
      <c r="K39" s="13" t="s">
        <v>259</v>
      </c>
    </row>
    <row r="40" customFormat="false" ht="15" hidden="false" customHeight="false" outlineLevel="0" collapsed="false">
      <c r="A40" s="15" t="s">
        <v>145</v>
      </c>
      <c r="B40" s="15" t="s">
        <v>23</v>
      </c>
      <c r="C40" s="15" t="s">
        <v>260</v>
      </c>
      <c r="D40" s="15" t="s">
        <v>261</v>
      </c>
      <c r="E40" s="15" t="s">
        <v>252</v>
      </c>
      <c r="F40" s="15" t="s">
        <v>134</v>
      </c>
      <c r="G40" s="15" t="s">
        <v>134</v>
      </c>
      <c r="H40" s="16" t="s">
        <v>258</v>
      </c>
      <c r="I40" s="17" t="n">
        <v>10</v>
      </c>
      <c r="J40" s="15" t="s">
        <v>254</v>
      </c>
      <c r="K40" s="16" t="s">
        <v>259</v>
      </c>
    </row>
    <row r="41" customFormat="false" ht="57.45" hidden="false" customHeight="false" outlineLevel="0" collapsed="false">
      <c r="A41" s="12" t="s">
        <v>145</v>
      </c>
      <c r="B41" s="12" t="s">
        <v>23</v>
      </c>
      <c r="C41" s="12" t="s">
        <v>262</v>
      </c>
      <c r="D41" s="12" t="s">
        <v>263</v>
      </c>
      <c r="E41" s="12" t="s">
        <v>252</v>
      </c>
      <c r="F41" s="12" t="s">
        <v>134</v>
      </c>
      <c r="G41" s="12" t="s">
        <v>134</v>
      </c>
      <c r="H41" s="13" t="s">
        <v>258</v>
      </c>
      <c r="I41" s="14" t="n">
        <v>10</v>
      </c>
      <c r="J41" s="12" t="s">
        <v>254</v>
      </c>
      <c r="K41" s="13" t="s">
        <v>264</v>
      </c>
    </row>
    <row r="42" customFormat="false" ht="63.75" hidden="false" customHeight="true" outlineLevel="0" collapsed="false">
      <c r="A42" s="12" t="s">
        <v>145</v>
      </c>
      <c r="B42" s="12" t="s">
        <v>24</v>
      </c>
      <c r="C42" s="12" t="s">
        <v>60</v>
      </c>
      <c r="D42" s="12" t="s">
        <v>61</v>
      </c>
      <c r="E42" s="12" t="s">
        <v>265</v>
      </c>
      <c r="F42" s="12" t="s">
        <v>134</v>
      </c>
      <c r="G42" s="12" t="s">
        <v>134</v>
      </c>
      <c r="H42" s="13" t="s">
        <v>266</v>
      </c>
      <c r="I42" s="14" t="n">
        <v>35</v>
      </c>
      <c r="J42" s="12" t="s">
        <v>267</v>
      </c>
      <c r="K42" s="13" t="s">
        <v>268</v>
      </c>
    </row>
    <row r="43" customFormat="false" ht="46.25" hidden="false" customHeight="false" outlineLevel="0" collapsed="false">
      <c r="A43" s="15" t="s">
        <v>191</v>
      </c>
      <c r="B43" s="15" t="s">
        <v>13</v>
      </c>
      <c r="C43" s="15" t="s">
        <v>63</v>
      </c>
      <c r="D43" s="15" t="s">
        <v>64</v>
      </c>
      <c r="E43" s="15" t="s">
        <v>134</v>
      </c>
      <c r="F43" s="15" t="s">
        <v>134</v>
      </c>
      <c r="G43" s="15" t="s">
        <v>134</v>
      </c>
      <c r="H43" s="16" t="s">
        <v>269</v>
      </c>
      <c r="I43" s="17" t="n">
        <v>90</v>
      </c>
      <c r="J43" s="15" t="s">
        <v>168</v>
      </c>
      <c r="K43" s="16" t="s">
        <v>270</v>
      </c>
    </row>
    <row r="44" customFormat="false" ht="51" hidden="false" customHeight="true" outlineLevel="0" collapsed="false">
      <c r="A44" s="15" t="s">
        <v>130</v>
      </c>
      <c r="B44" s="15" t="s">
        <v>15</v>
      </c>
      <c r="C44" s="15" t="s">
        <v>271</v>
      </c>
      <c r="D44" s="15" t="s">
        <v>272</v>
      </c>
      <c r="E44" s="15" t="s">
        <v>273</v>
      </c>
      <c r="F44" s="15" t="s">
        <v>134</v>
      </c>
      <c r="G44" s="15" t="s">
        <v>134</v>
      </c>
      <c r="H44" s="16" t="s">
        <v>274</v>
      </c>
      <c r="I44" s="17" t="n">
        <v>15</v>
      </c>
      <c r="J44" s="15" t="s">
        <v>195</v>
      </c>
      <c r="K44" s="16" t="s">
        <v>275</v>
      </c>
    </row>
    <row r="45" customFormat="false" ht="25.5" hidden="false" customHeight="true" outlineLevel="0" collapsed="false">
      <c r="A45" s="15" t="s">
        <v>191</v>
      </c>
      <c r="B45" s="15" t="s">
        <v>13</v>
      </c>
      <c r="C45" s="15" t="s">
        <v>65</v>
      </c>
      <c r="D45" s="15" t="s">
        <v>66</v>
      </c>
      <c r="E45" s="15" t="s">
        <v>134</v>
      </c>
      <c r="F45" s="15" t="s">
        <v>134</v>
      </c>
      <c r="G45" s="15" t="s">
        <v>134</v>
      </c>
      <c r="H45" s="16" t="s">
        <v>276</v>
      </c>
      <c r="I45" s="17" t="n">
        <v>90</v>
      </c>
      <c r="J45" s="15" t="s">
        <v>168</v>
      </c>
      <c r="K45" s="16" t="s">
        <v>277</v>
      </c>
    </row>
    <row r="46" customFormat="false" ht="25.5" hidden="false" customHeight="true" outlineLevel="0" collapsed="false">
      <c r="A46" s="12" t="s">
        <v>130</v>
      </c>
      <c r="B46" s="12" t="s">
        <v>18</v>
      </c>
      <c r="C46" s="12" t="s">
        <v>67</v>
      </c>
      <c r="D46" s="12" t="s">
        <v>68</v>
      </c>
      <c r="E46" s="12" t="s">
        <v>134</v>
      </c>
      <c r="F46" s="12" t="s">
        <v>134</v>
      </c>
      <c r="G46" s="12" t="s">
        <v>134</v>
      </c>
      <c r="H46" s="13" t="s">
        <v>278</v>
      </c>
      <c r="I46" s="14" t="n">
        <v>90</v>
      </c>
      <c r="J46" s="12" t="s">
        <v>168</v>
      </c>
      <c r="K46" s="13" t="s">
        <v>279</v>
      </c>
    </row>
    <row r="47" customFormat="false" ht="25.5" hidden="false" customHeight="true" outlineLevel="0" collapsed="false">
      <c r="A47" s="12" t="s">
        <v>130</v>
      </c>
      <c r="B47" s="12" t="s">
        <v>16</v>
      </c>
      <c r="C47" s="12" t="s">
        <v>102</v>
      </c>
      <c r="D47" s="12" t="s">
        <v>103</v>
      </c>
      <c r="E47" s="12" t="s">
        <v>134</v>
      </c>
      <c r="F47" s="12" t="s">
        <v>134</v>
      </c>
      <c r="G47" s="12" t="s">
        <v>134</v>
      </c>
      <c r="H47" s="13" t="s">
        <v>280</v>
      </c>
      <c r="I47" s="14" t="n">
        <v>90</v>
      </c>
      <c r="J47" s="12" t="s">
        <v>168</v>
      </c>
      <c r="K47" s="13" t="s">
        <v>281</v>
      </c>
    </row>
    <row r="48" customFormat="false" ht="25.5" hidden="false" customHeight="true" outlineLevel="0" collapsed="false">
      <c r="A48" s="12" t="s">
        <v>191</v>
      </c>
      <c r="B48" s="12" t="s">
        <v>13</v>
      </c>
      <c r="C48" s="12" t="s">
        <v>104</v>
      </c>
      <c r="D48" s="12" t="s">
        <v>105</v>
      </c>
      <c r="E48" s="12" t="s">
        <v>134</v>
      </c>
      <c r="F48" s="12" t="s">
        <v>134</v>
      </c>
      <c r="G48" s="12" t="s">
        <v>134</v>
      </c>
      <c r="H48" s="13" t="s">
        <v>282</v>
      </c>
      <c r="I48" s="14" t="n">
        <v>75</v>
      </c>
      <c r="J48" s="12" t="s">
        <v>203</v>
      </c>
      <c r="K48" s="13" t="s">
        <v>283</v>
      </c>
    </row>
    <row r="49" customFormat="false" ht="25.5" hidden="false" customHeight="true" outlineLevel="0" collapsed="false">
      <c r="A49" s="12" t="s">
        <v>130</v>
      </c>
      <c r="B49" s="12" t="s">
        <v>16</v>
      </c>
      <c r="C49" s="12" t="s">
        <v>106</v>
      </c>
      <c r="D49" s="12" t="s">
        <v>107</v>
      </c>
      <c r="E49" s="12" t="s">
        <v>134</v>
      </c>
      <c r="F49" s="12" t="s">
        <v>134</v>
      </c>
      <c r="G49" s="12" t="s">
        <v>134</v>
      </c>
      <c r="H49" s="13" t="s">
        <v>284</v>
      </c>
      <c r="I49" s="14" t="n">
        <v>90</v>
      </c>
      <c r="J49" s="12" t="s">
        <v>168</v>
      </c>
      <c r="K49" s="13" t="s">
        <v>285</v>
      </c>
    </row>
    <row r="50" customFormat="false" ht="38.25" hidden="false" customHeight="true" outlineLevel="0" collapsed="false">
      <c r="A50" s="15" t="s">
        <v>191</v>
      </c>
      <c r="B50" s="15" t="s">
        <v>12</v>
      </c>
      <c r="C50" s="15" t="s">
        <v>108</v>
      </c>
      <c r="D50" s="15" t="s">
        <v>109</v>
      </c>
      <c r="E50" s="15" t="s">
        <v>134</v>
      </c>
      <c r="F50" s="15" t="s">
        <v>134</v>
      </c>
      <c r="G50" s="15" t="s">
        <v>134</v>
      </c>
      <c r="H50" s="16" t="s">
        <v>286</v>
      </c>
      <c r="I50" s="17" t="n">
        <v>95</v>
      </c>
      <c r="J50" s="15" t="s">
        <v>168</v>
      </c>
      <c r="K50" s="16" t="s">
        <v>287</v>
      </c>
    </row>
    <row r="51" customFormat="false" ht="25.5" hidden="false" customHeight="true" outlineLevel="0" collapsed="false">
      <c r="A51" s="12" t="s">
        <v>191</v>
      </c>
      <c r="B51" s="12" t="s">
        <v>12</v>
      </c>
      <c r="C51" s="12" t="s">
        <v>110</v>
      </c>
      <c r="D51" s="12" t="s">
        <v>111</v>
      </c>
      <c r="E51" s="12" t="s">
        <v>134</v>
      </c>
      <c r="F51" s="12" t="s">
        <v>134</v>
      </c>
      <c r="G51" s="12" t="s">
        <v>134</v>
      </c>
      <c r="H51" s="13" t="s">
        <v>286</v>
      </c>
      <c r="I51" s="14" t="n">
        <v>95</v>
      </c>
      <c r="J51" s="12" t="s">
        <v>168</v>
      </c>
      <c r="K51" s="13" t="s">
        <v>288</v>
      </c>
    </row>
    <row r="52" customFormat="false" ht="51" hidden="false" customHeight="true" outlineLevel="0" collapsed="false">
      <c r="A52" s="15" t="s">
        <v>130</v>
      </c>
      <c r="B52" s="15" t="s">
        <v>19</v>
      </c>
      <c r="C52" s="15" t="s">
        <v>289</v>
      </c>
      <c r="D52" s="15" t="s">
        <v>290</v>
      </c>
      <c r="E52" s="15" t="s">
        <v>134</v>
      </c>
      <c r="F52" s="15" t="s">
        <v>134</v>
      </c>
      <c r="G52" s="15" t="s">
        <v>134</v>
      </c>
      <c r="H52" s="16" t="s">
        <v>291</v>
      </c>
      <c r="I52" s="17" t="n">
        <v>35</v>
      </c>
      <c r="J52" s="15" t="s">
        <v>292</v>
      </c>
      <c r="K52" s="16" t="s">
        <v>293</v>
      </c>
    </row>
    <row r="53" customFormat="false" ht="25.5" hidden="false" customHeight="true" outlineLevel="0" collapsed="false">
      <c r="A53" s="15" t="s">
        <v>130</v>
      </c>
      <c r="B53" s="15" t="s">
        <v>19</v>
      </c>
      <c r="C53" s="15" t="s">
        <v>294</v>
      </c>
      <c r="D53" s="15" t="s">
        <v>295</v>
      </c>
      <c r="E53" s="15" t="s">
        <v>134</v>
      </c>
      <c r="F53" s="15" t="s">
        <v>134</v>
      </c>
      <c r="G53" s="15" t="s">
        <v>134</v>
      </c>
      <c r="H53" s="16" t="s">
        <v>296</v>
      </c>
      <c r="I53" s="17" t="n">
        <v>40</v>
      </c>
      <c r="J53" s="15" t="s">
        <v>297</v>
      </c>
      <c r="K53" s="16" t="s">
        <v>298</v>
      </c>
    </row>
    <row r="54" customFormat="false" ht="25.5" hidden="false" customHeight="true" outlineLevel="0" collapsed="false">
      <c r="A54" s="12" t="s">
        <v>130</v>
      </c>
      <c r="B54" s="12" t="s">
        <v>19</v>
      </c>
      <c r="C54" s="12" t="s">
        <v>299</v>
      </c>
      <c r="D54" s="12" t="s">
        <v>300</v>
      </c>
      <c r="E54" s="12" t="s">
        <v>134</v>
      </c>
      <c r="F54" s="12" t="s">
        <v>134</v>
      </c>
      <c r="G54" s="12" t="s">
        <v>134</v>
      </c>
      <c r="H54" s="13" t="s">
        <v>301</v>
      </c>
      <c r="I54" s="14" t="n">
        <v>40</v>
      </c>
      <c r="J54" s="12" t="s">
        <v>297</v>
      </c>
      <c r="K54" s="13" t="s">
        <v>302</v>
      </c>
    </row>
    <row r="55" customFormat="false" ht="51" hidden="false" customHeight="true" outlineLevel="0" collapsed="false">
      <c r="A55" s="12" t="s">
        <v>130</v>
      </c>
      <c r="B55" s="12" t="s">
        <v>20</v>
      </c>
      <c r="C55" s="12" t="s">
        <v>303</v>
      </c>
      <c r="D55" s="12" t="s">
        <v>117</v>
      </c>
      <c r="E55" s="12" t="s">
        <v>304</v>
      </c>
      <c r="F55" s="12" t="s">
        <v>134</v>
      </c>
      <c r="G55" s="12" t="s">
        <v>134</v>
      </c>
      <c r="H55" s="13" t="s">
        <v>305</v>
      </c>
      <c r="I55" s="14" t="n">
        <v>90</v>
      </c>
      <c r="J55" s="12" t="s">
        <v>168</v>
      </c>
      <c r="K55" s="13" t="s">
        <v>306</v>
      </c>
    </row>
    <row r="56" customFormat="false" ht="38.25" hidden="false" customHeight="true" outlineLevel="0" collapsed="false">
      <c r="A56" s="12" t="s">
        <v>191</v>
      </c>
      <c r="B56" s="12" t="s">
        <v>13</v>
      </c>
      <c r="C56" s="12" t="s">
        <v>307</v>
      </c>
      <c r="D56" s="12" t="s">
        <v>308</v>
      </c>
      <c r="E56" s="12" t="s">
        <v>134</v>
      </c>
      <c r="F56" s="12" t="s">
        <v>134</v>
      </c>
      <c r="G56" s="12" t="s">
        <v>134</v>
      </c>
      <c r="H56" s="13" t="s">
        <v>309</v>
      </c>
      <c r="I56" s="14" t="n">
        <v>50</v>
      </c>
      <c r="J56" s="12" t="s">
        <v>203</v>
      </c>
      <c r="K56" s="13" t="s">
        <v>310</v>
      </c>
    </row>
    <row r="57" customFormat="false" ht="25.5" hidden="false" customHeight="true" outlineLevel="0" collapsed="false">
      <c r="A57" s="12" t="s">
        <v>130</v>
      </c>
      <c r="B57" s="12" t="s">
        <v>14</v>
      </c>
      <c r="C57" s="12" t="s">
        <v>112</v>
      </c>
      <c r="D57" s="12" t="s">
        <v>113</v>
      </c>
      <c r="E57" s="12" t="s">
        <v>134</v>
      </c>
      <c r="F57" s="12" t="s">
        <v>134</v>
      </c>
      <c r="G57" s="12" t="s">
        <v>134</v>
      </c>
      <c r="H57" s="13" t="s">
        <v>311</v>
      </c>
      <c r="I57" s="14" t="n">
        <v>90</v>
      </c>
      <c r="J57" s="12" t="s">
        <v>168</v>
      </c>
      <c r="K57" s="13" t="s">
        <v>312</v>
      </c>
    </row>
    <row r="58" customFormat="false" ht="35.05" hidden="false" customHeight="false" outlineLevel="0" collapsed="false">
      <c r="A58" s="15" t="s">
        <v>130</v>
      </c>
      <c r="B58" s="15" t="s">
        <v>14</v>
      </c>
      <c r="C58" s="15" t="s">
        <v>114</v>
      </c>
      <c r="D58" s="15" t="s">
        <v>115</v>
      </c>
      <c r="E58" s="15" t="s">
        <v>134</v>
      </c>
      <c r="F58" s="15" t="s">
        <v>134</v>
      </c>
      <c r="G58" s="15" t="s">
        <v>134</v>
      </c>
      <c r="H58" s="16" t="s">
        <v>313</v>
      </c>
      <c r="I58" s="17" t="n">
        <v>90</v>
      </c>
      <c r="J58" s="15" t="s">
        <v>168</v>
      </c>
      <c r="K58" s="16" t="s">
        <v>314</v>
      </c>
    </row>
    <row r="59" customFormat="false" ht="25.5" hidden="false" customHeight="true" outlineLevel="0" collapsed="false">
      <c r="A59" s="12" t="s">
        <v>130</v>
      </c>
      <c r="B59" s="12" t="s">
        <v>14</v>
      </c>
      <c r="C59" s="12" t="s">
        <v>315</v>
      </c>
      <c r="D59" s="12" t="s">
        <v>316</v>
      </c>
      <c r="E59" s="12" t="s">
        <v>134</v>
      </c>
      <c r="F59" s="12" t="s">
        <v>134</v>
      </c>
      <c r="G59" s="12" t="s">
        <v>134</v>
      </c>
      <c r="H59" s="13" t="s">
        <v>317</v>
      </c>
      <c r="I59" s="14" t="n">
        <v>50</v>
      </c>
      <c r="J59" s="12" t="s">
        <v>297</v>
      </c>
      <c r="K59" s="13" t="s">
        <v>318</v>
      </c>
    </row>
    <row r="60" customFormat="false" ht="15" hidden="false" customHeight="false" outlineLevel="0" collapsed="false">
      <c r="A60" s="15" t="s">
        <v>130</v>
      </c>
      <c r="B60" s="15" t="s">
        <v>14</v>
      </c>
      <c r="C60" s="15" t="s">
        <v>319</v>
      </c>
      <c r="D60" s="15" t="s">
        <v>320</v>
      </c>
      <c r="E60" s="15" t="s">
        <v>134</v>
      </c>
      <c r="F60" s="15" t="s">
        <v>134</v>
      </c>
      <c r="G60" s="15" t="s">
        <v>134</v>
      </c>
      <c r="H60" s="16" t="s">
        <v>321</v>
      </c>
      <c r="I60" s="17" t="n">
        <v>50</v>
      </c>
      <c r="J60" s="15" t="s">
        <v>297</v>
      </c>
      <c r="K60" s="16" t="s">
        <v>322</v>
      </c>
    </row>
    <row r="61" customFormat="false" ht="15" hidden="false" customHeight="false" outlineLevel="0" collapsed="false">
      <c r="A61" s="12" t="s">
        <v>130</v>
      </c>
      <c r="B61" s="12" t="s">
        <v>14</v>
      </c>
      <c r="C61" s="12" t="s">
        <v>323</v>
      </c>
      <c r="D61" s="12" t="s">
        <v>324</v>
      </c>
      <c r="E61" s="12" t="s">
        <v>134</v>
      </c>
      <c r="F61" s="12" t="s">
        <v>134</v>
      </c>
      <c r="G61" s="12" t="s">
        <v>134</v>
      </c>
      <c r="H61" s="13" t="s">
        <v>321</v>
      </c>
      <c r="I61" s="14" t="n">
        <v>50</v>
      </c>
      <c r="J61" s="12" t="s">
        <v>297</v>
      </c>
      <c r="K61" s="13" t="s">
        <v>322</v>
      </c>
    </row>
    <row r="62" customFormat="false" ht="15" hidden="false" customHeight="false" outlineLevel="0" collapsed="false">
      <c r="A62" s="15" t="s">
        <v>130</v>
      </c>
      <c r="B62" s="15" t="s">
        <v>14</v>
      </c>
      <c r="C62" s="15" t="s">
        <v>325</v>
      </c>
      <c r="D62" s="15" t="s">
        <v>326</v>
      </c>
      <c r="E62" s="15" t="s">
        <v>134</v>
      </c>
      <c r="F62" s="15" t="s">
        <v>134</v>
      </c>
      <c r="G62" s="15" t="s">
        <v>134</v>
      </c>
      <c r="H62" s="16" t="s">
        <v>321</v>
      </c>
      <c r="I62" s="17" t="n">
        <v>50</v>
      </c>
      <c r="J62" s="15" t="s">
        <v>297</v>
      </c>
      <c r="K62" s="16" t="s">
        <v>327</v>
      </c>
    </row>
    <row r="63" customFormat="false" ht="38.25" hidden="false" customHeight="true" outlineLevel="0" collapsed="false">
      <c r="A63" s="15" t="s">
        <v>191</v>
      </c>
      <c r="B63" s="15" t="s">
        <v>13</v>
      </c>
      <c r="C63" s="15" t="s">
        <v>328</v>
      </c>
      <c r="D63" s="15" t="s">
        <v>329</v>
      </c>
      <c r="E63" s="15" t="s">
        <v>134</v>
      </c>
      <c r="F63" s="15" t="s">
        <v>134</v>
      </c>
      <c r="G63" s="15" t="s">
        <v>134</v>
      </c>
      <c r="H63" s="16" t="s">
        <v>330</v>
      </c>
      <c r="I63" s="17" t="n">
        <v>55</v>
      </c>
      <c r="J63" s="15" t="s">
        <v>203</v>
      </c>
      <c r="K63" s="16" t="s">
        <v>331</v>
      </c>
    </row>
    <row r="64" customFormat="false" ht="25.5" hidden="false" customHeight="true" outlineLevel="0" collapsed="false">
      <c r="A64" s="15" t="s">
        <v>130</v>
      </c>
      <c r="B64" s="15" t="s">
        <v>14</v>
      </c>
      <c r="C64" s="15" t="s">
        <v>332</v>
      </c>
      <c r="D64" s="15" t="s">
        <v>333</v>
      </c>
      <c r="E64" s="15" t="s">
        <v>334</v>
      </c>
      <c r="F64" s="15" t="s">
        <v>134</v>
      </c>
      <c r="G64" s="15" t="s">
        <v>134</v>
      </c>
      <c r="H64" s="16" t="s">
        <v>335</v>
      </c>
      <c r="I64" s="17" t="n">
        <v>55</v>
      </c>
      <c r="J64" s="15" t="s">
        <v>179</v>
      </c>
      <c r="K64" s="16" t="s">
        <v>336</v>
      </c>
    </row>
    <row r="65" customFormat="false" ht="15" hidden="false" customHeight="false" outlineLevel="0" collapsed="false">
      <c r="A65" s="12" t="s">
        <v>130</v>
      </c>
      <c r="B65" s="12" t="s">
        <v>14</v>
      </c>
      <c r="C65" s="12" t="s">
        <v>337</v>
      </c>
      <c r="D65" s="12" t="s">
        <v>338</v>
      </c>
      <c r="E65" s="12" t="s">
        <v>334</v>
      </c>
      <c r="F65" s="12" t="s">
        <v>134</v>
      </c>
      <c r="G65" s="12" t="s">
        <v>134</v>
      </c>
      <c r="H65" s="13" t="s">
        <v>339</v>
      </c>
      <c r="I65" s="14" t="n">
        <v>55</v>
      </c>
      <c r="J65" s="12" t="s">
        <v>179</v>
      </c>
      <c r="K65" s="13" t="s">
        <v>340</v>
      </c>
    </row>
    <row r="66" customFormat="false" ht="38.25" hidden="false" customHeight="true" outlineLevel="0" collapsed="false">
      <c r="A66" s="12" t="s">
        <v>130</v>
      </c>
      <c r="B66" s="12" t="s">
        <v>18</v>
      </c>
      <c r="C66" s="12" t="s">
        <v>341</v>
      </c>
      <c r="D66" s="12" t="s">
        <v>342</v>
      </c>
      <c r="E66" s="12" t="s">
        <v>134</v>
      </c>
      <c r="F66" s="12" t="s">
        <v>134</v>
      </c>
      <c r="G66" s="12" t="s">
        <v>134</v>
      </c>
      <c r="H66" s="13" t="s">
        <v>343</v>
      </c>
      <c r="I66" s="14" t="n">
        <v>55</v>
      </c>
      <c r="J66" s="12" t="s">
        <v>203</v>
      </c>
      <c r="K66" s="13" t="s">
        <v>344</v>
      </c>
    </row>
    <row r="67" customFormat="false" ht="51" hidden="false" customHeight="true" outlineLevel="0" collapsed="false">
      <c r="A67" s="12" t="s">
        <v>130</v>
      </c>
      <c r="B67" s="12" t="s">
        <v>14</v>
      </c>
      <c r="C67" s="12" t="s">
        <v>345</v>
      </c>
      <c r="D67" s="12" t="s">
        <v>346</v>
      </c>
      <c r="E67" s="12" t="s">
        <v>334</v>
      </c>
      <c r="F67" s="12" t="s">
        <v>134</v>
      </c>
      <c r="G67" s="12" t="s">
        <v>134</v>
      </c>
      <c r="H67" s="13" t="s">
        <v>347</v>
      </c>
      <c r="I67" s="14" t="n">
        <v>60</v>
      </c>
      <c r="J67" s="12" t="s">
        <v>179</v>
      </c>
      <c r="K67" s="13" t="s">
        <v>348</v>
      </c>
    </row>
    <row r="68" customFormat="false" ht="38.25" hidden="false" customHeight="true" outlineLevel="0" collapsed="false">
      <c r="A68" s="15" t="s">
        <v>191</v>
      </c>
      <c r="B68" s="15" t="s">
        <v>12</v>
      </c>
      <c r="C68" s="15" t="s">
        <v>349</v>
      </c>
      <c r="D68" s="15" t="s">
        <v>350</v>
      </c>
      <c r="E68" s="15" t="s">
        <v>134</v>
      </c>
      <c r="F68" s="15" t="s">
        <v>134</v>
      </c>
      <c r="G68" s="15" t="s">
        <v>134</v>
      </c>
      <c r="H68" s="16" t="s">
        <v>351</v>
      </c>
      <c r="I68" s="17" t="n">
        <v>65</v>
      </c>
      <c r="J68" s="15" t="s">
        <v>203</v>
      </c>
      <c r="K68" s="16" t="s">
        <v>352</v>
      </c>
    </row>
    <row r="69" customFormat="false" ht="25.5" hidden="false" customHeight="true" outlineLevel="0" collapsed="false">
      <c r="A69" s="15" t="s">
        <v>130</v>
      </c>
      <c r="B69" s="15" t="s">
        <v>14</v>
      </c>
      <c r="C69" s="15" t="s">
        <v>353</v>
      </c>
      <c r="D69" s="15" t="s">
        <v>354</v>
      </c>
      <c r="E69" s="15" t="s">
        <v>134</v>
      </c>
      <c r="F69" s="15" t="s">
        <v>134</v>
      </c>
      <c r="G69" s="15" t="s">
        <v>134</v>
      </c>
      <c r="H69" s="16" t="s">
        <v>355</v>
      </c>
      <c r="I69" s="17" t="n">
        <v>65</v>
      </c>
      <c r="J69" s="15" t="s">
        <v>356</v>
      </c>
      <c r="K69" s="16" t="s">
        <v>357</v>
      </c>
    </row>
    <row r="70" customFormat="false" ht="63.75" hidden="false" customHeight="true" outlineLevel="0" collapsed="false">
      <c r="A70" s="12" t="s">
        <v>130</v>
      </c>
      <c r="B70" s="12" t="s">
        <v>15</v>
      </c>
      <c r="C70" s="12" t="s">
        <v>358</v>
      </c>
      <c r="D70" s="12" t="s">
        <v>359</v>
      </c>
      <c r="E70" s="12" t="s">
        <v>360</v>
      </c>
      <c r="F70" s="12" t="s">
        <v>134</v>
      </c>
      <c r="G70" s="12" t="s">
        <v>134</v>
      </c>
      <c r="H70" s="13" t="s">
        <v>361</v>
      </c>
      <c r="I70" s="14" t="n">
        <v>70</v>
      </c>
      <c r="J70" s="12" t="s">
        <v>179</v>
      </c>
      <c r="K70" s="13" t="s">
        <v>362</v>
      </c>
    </row>
    <row r="71" customFormat="false" ht="76.5" hidden="false" customHeight="true" outlineLevel="0" collapsed="false">
      <c r="A71" s="12" t="s">
        <v>191</v>
      </c>
      <c r="B71" s="12" t="s">
        <v>13</v>
      </c>
      <c r="C71" s="12" t="s">
        <v>363</v>
      </c>
      <c r="D71" s="12" t="s">
        <v>364</v>
      </c>
      <c r="E71" s="12" t="s">
        <v>134</v>
      </c>
      <c r="F71" s="12" t="s">
        <v>134</v>
      </c>
      <c r="G71" s="12" t="s">
        <v>134</v>
      </c>
      <c r="H71" s="13" t="s">
        <v>365</v>
      </c>
      <c r="I71" s="14" t="n">
        <v>75</v>
      </c>
      <c r="J71" s="12" t="s">
        <v>203</v>
      </c>
      <c r="K71" s="13" t="s">
        <v>366</v>
      </c>
    </row>
    <row r="72" customFormat="false" ht="63.75" hidden="false" customHeight="true" outlineLevel="0" collapsed="false">
      <c r="A72" s="12" t="s">
        <v>191</v>
      </c>
      <c r="B72" s="12" t="s">
        <v>12</v>
      </c>
      <c r="C72" s="12" t="s">
        <v>367</v>
      </c>
      <c r="D72" s="12" t="s">
        <v>368</v>
      </c>
      <c r="E72" s="12" t="s">
        <v>134</v>
      </c>
      <c r="F72" s="12" t="s">
        <v>134</v>
      </c>
      <c r="G72" s="12" t="s">
        <v>134</v>
      </c>
      <c r="H72" s="13" t="s">
        <v>369</v>
      </c>
      <c r="I72" s="14" t="n">
        <v>80</v>
      </c>
      <c r="J72" s="12" t="s">
        <v>203</v>
      </c>
      <c r="K72" s="13" t="s">
        <v>370</v>
      </c>
    </row>
    <row r="73" customFormat="false" ht="25.5" hidden="false" customHeight="true" outlineLevel="0" collapsed="false">
      <c r="A73" s="15" t="s">
        <v>191</v>
      </c>
      <c r="B73" s="15" t="s">
        <v>12</v>
      </c>
      <c r="C73" s="15" t="s">
        <v>371</v>
      </c>
      <c r="D73" s="15" t="s">
        <v>372</v>
      </c>
      <c r="E73" s="15" t="s">
        <v>134</v>
      </c>
      <c r="F73" s="15" t="s">
        <v>134</v>
      </c>
      <c r="G73" s="15" t="s">
        <v>134</v>
      </c>
      <c r="H73" s="16" t="s">
        <v>373</v>
      </c>
      <c r="I73" s="17" t="n">
        <v>80</v>
      </c>
      <c r="J73" s="15" t="s">
        <v>203</v>
      </c>
      <c r="K73" s="16" t="s">
        <v>374</v>
      </c>
    </row>
    <row r="74" customFormat="false" ht="25.5" hidden="false" customHeight="true" outlineLevel="0" collapsed="false">
      <c r="A74" s="15" t="s">
        <v>130</v>
      </c>
      <c r="B74" s="15" t="s">
        <v>16</v>
      </c>
      <c r="C74" s="15" t="s">
        <v>375</v>
      </c>
      <c r="D74" s="15" t="s">
        <v>376</v>
      </c>
      <c r="E74" s="15" t="s">
        <v>377</v>
      </c>
      <c r="F74" s="15" t="s">
        <v>134</v>
      </c>
      <c r="G74" s="15" t="s">
        <v>134</v>
      </c>
      <c r="H74" s="16" t="s">
        <v>378</v>
      </c>
      <c r="I74" s="17" t="n">
        <v>80</v>
      </c>
      <c r="J74" s="15" t="s">
        <v>168</v>
      </c>
      <c r="K74" s="16" t="s">
        <v>379</v>
      </c>
    </row>
    <row r="75" customFormat="false" ht="15" hidden="false" customHeight="false" outlineLevel="0" collapsed="false">
      <c r="A75" s="12" t="s">
        <v>130</v>
      </c>
      <c r="B75" s="12" t="s">
        <v>16</v>
      </c>
      <c r="C75" s="12" t="s">
        <v>380</v>
      </c>
      <c r="D75" s="12" t="s">
        <v>381</v>
      </c>
      <c r="E75" s="12" t="s">
        <v>377</v>
      </c>
      <c r="F75" s="12" t="s">
        <v>134</v>
      </c>
      <c r="G75" s="12" t="s">
        <v>134</v>
      </c>
      <c r="H75" s="13" t="s">
        <v>378</v>
      </c>
      <c r="I75" s="14" t="n">
        <v>80</v>
      </c>
      <c r="J75" s="12" t="s">
        <v>168</v>
      </c>
      <c r="K75" s="13" t="s">
        <v>322</v>
      </c>
    </row>
    <row r="76" customFormat="false" ht="25.5" hidden="false" customHeight="true" outlineLevel="0" collapsed="false">
      <c r="A76" s="15" t="s">
        <v>145</v>
      </c>
      <c r="B76" s="15" t="s">
        <v>23</v>
      </c>
      <c r="C76" s="15" t="s">
        <v>382</v>
      </c>
      <c r="D76" s="15" t="s">
        <v>383</v>
      </c>
      <c r="E76" s="15" t="s">
        <v>134</v>
      </c>
      <c r="F76" s="15" t="s">
        <v>134</v>
      </c>
      <c r="G76" s="15" t="s">
        <v>134</v>
      </c>
      <c r="H76" s="16" t="s">
        <v>384</v>
      </c>
      <c r="I76" s="17" t="n">
        <v>80</v>
      </c>
      <c r="J76" s="15" t="s">
        <v>385</v>
      </c>
      <c r="K76" s="16" t="s">
        <v>386</v>
      </c>
    </row>
    <row r="77" customFormat="false" ht="15" hidden="false" customHeight="false" outlineLevel="0" collapsed="false">
      <c r="A77" s="12" t="s">
        <v>145</v>
      </c>
      <c r="B77" s="12" t="s">
        <v>23</v>
      </c>
      <c r="C77" s="12" t="s">
        <v>387</v>
      </c>
      <c r="D77" s="12" t="s">
        <v>388</v>
      </c>
      <c r="E77" s="12" t="s">
        <v>134</v>
      </c>
      <c r="F77" s="12" t="s">
        <v>134</v>
      </c>
      <c r="G77" s="12" t="s">
        <v>134</v>
      </c>
      <c r="H77" s="13" t="s">
        <v>258</v>
      </c>
      <c r="I77" s="14" t="n">
        <v>80</v>
      </c>
      <c r="J77" s="12" t="s">
        <v>385</v>
      </c>
      <c r="K77" s="13"/>
    </row>
    <row r="78" customFormat="false" ht="15" hidden="false" customHeight="false" outlineLevel="0" collapsed="false">
      <c r="A78" s="15" t="s">
        <v>145</v>
      </c>
      <c r="B78" s="15" t="s">
        <v>23</v>
      </c>
      <c r="C78" s="15" t="s">
        <v>389</v>
      </c>
      <c r="D78" s="15" t="s">
        <v>390</v>
      </c>
      <c r="E78" s="15" t="s">
        <v>134</v>
      </c>
      <c r="F78" s="15" t="s">
        <v>134</v>
      </c>
      <c r="G78" s="15" t="s">
        <v>134</v>
      </c>
      <c r="H78" s="16" t="s">
        <v>258</v>
      </c>
      <c r="I78" s="17" t="n">
        <v>80</v>
      </c>
      <c r="J78" s="15" t="s">
        <v>385</v>
      </c>
      <c r="K78" s="16"/>
    </row>
    <row r="79" customFormat="false" ht="51" hidden="false" customHeight="true" outlineLevel="0" collapsed="false">
      <c r="A79" s="12" t="s">
        <v>191</v>
      </c>
      <c r="B79" s="12" t="s">
        <v>12</v>
      </c>
      <c r="C79" s="12" t="s">
        <v>391</v>
      </c>
      <c r="D79" s="12" t="s">
        <v>392</v>
      </c>
      <c r="E79" s="12" t="s">
        <v>134</v>
      </c>
      <c r="F79" s="12" t="s">
        <v>134</v>
      </c>
      <c r="G79" s="12" t="s">
        <v>134</v>
      </c>
      <c r="H79" s="13" t="s">
        <v>393</v>
      </c>
      <c r="I79" s="14" t="n">
        <v>85</v>
      </c>
      <c r="J79" s="12" t="s">
        <v>168</v>
      </c>
      <c r="K79" s="13" t="s">
        <v>394</v>
      </c>
    </row>
    <row r="80" customFormat="false" ht="15" hidden="false" customHeight="false" outlineLevel="0" collapsed="false">
      <c r="A80" s="15" t="s">
        <v>130</v>
      </c>
      <c r="B80" s="15" t="s">
        <v>16</v>
      </c>
      <c r="C80" s="15" t="s">
        <v>395</v>
      </c>
      <c r="D80" s="15" t="s">
        <v>396</v>
      </c>
      <c r="E80" s="15" t="s">
        <v>134</v>
      </c>
      <c r="F80" s="15" t="s">
        <v>134</v>
      </c>
      <c r="G80" s="15" t="s">
        <v>134</v>
      </c>
      <c r="H80" s="16" t="s">
        <v>378</v>
      </c>
      <c r="I80" s="17" t="n">
        <v>85</v>
      </c>
      <c r="J80" s="15" t="s">
        <v>168</v>
      </c>
      <c r="K80" s="16"/>
    </row>
    <row r="81" customFormat="false" ht="15" hidden="false" customHeight="false" outlineLevel="0" collapsed="false">
      <c r="A81" s="12" t="s">
        <v>130</v>
      </c>
      <c r="B81" s="12" t="s">
        <v>16</v>
      </c>
      <c r="C81" s="12" t="s">
        <v>397</v>
      </c>
      <c r="D81" s="12" t="s">
        <v>398</v>
      </c>
      <c r="E81" s="12" t="s">
        <v>134</v>
      </c>
      <c r="F81" s="12" t="s">
        <v>134</v>
      </c>
      <c r="G81" s="12" t="s">
        <v>134</v>
      </c>
      <c r="H81" s="13" t="s">
        <v>378</v>
      </c>
      <c r="I81" s="14" t="n">
        <v>85</v>
      </c>
      <c r="J81" s="12" t="s">
        <v>168</v>
      </c>
      <c r="K81" s="13"/>
    </row>
    <row r="82" customFormat="false" ht="15" hidden="false" customHeight="false" outlineLevel="0" collapsed="false">
      <c r="A82" s="15" t="s">
        <v>130</v>
      </c>
      <c r="B82" s="15" t="s">
        <v>16</v>
      </c>
      <c r="C82" s="15" t="s">
        <v>399</v>
      </c>
      <c r="D82" s="15" t="s">
        <v>400</v>
      </c>
      <c r="E82" s="15" t="s">
        <v>134</v>
      </c>
      <c r="F82" s="15" t="s">
        <v>134</v>
      </c>
      <c r="G82" s="15" t="s">
        <v>134</v>
      </c>
      <c r="H82" s="16" t="s">
        <v>378</v>
      </c>
      <c r="I82" s="17" t="n">
        <v>85</v>
      </c>
      <c r="J82" s="15" t="s">
        <v>168</v>
      </c>
      <c r="K82" s="16"/>
    </row>
    <row r="83" customFormat="false" ht="15" hidden="false" customHeight="false" outlineLevel="0" collapsed="false">
      <c r="A83" s="15" t="s">
        <v>130</v>
      </c>
      <c r="B83" s="15" t="s">
        <v>16</v>
      </c>
      <c r="C83" s="15" t="s">
        <v>401</v>
      </c>
      <c r="D83" s="15" t="s">
        <v>402</v>
      </c>
      <c r="E83" s="15" t="s">
        <v>134</v>
      </c>
      <c r="F83" s="15" t="s">
        <v>134</v>
      </c>
      <c r="G83" s="15" t="s">
        <v>134</v>
      </c>
      <c r="H83" s="16" t="s">
        <v>378</v>
      </c>
      <c r="I83" s="17" t="n">
        <v>85</v>
      </c>
      <c r="J83" s="15" t="s">
        <v>168</v>
      </c>
      <c r="K83" s="16"/>
    </row>
    <row r="84" customFormat="false" ht="15" hidden="false" customHeight="false" outlineLevel="0" collapsed="false">
      <c r="A84" s="12" t="s">
        <v>130</v>
      </c>
      <c r="B84" s="12" t="s">
        <v>16</v>
      </c>
      <c r="C84" s="12" t="s">
        <v>403</v>
      </c>
      <c r="D84" s="12" t="s">
        <v>404</v>
      </c>
      <c r="E84" s="12" t="s">
        <v>134</v>
      </c>
      <c r="F84" s="12" t="s">
        <v>134</v>
      </c>
      <c r="G84" s="12" t="s">
        <v>134</v>
      </c>
      <c r="H84" s="13" t="s">
        <v>378</v>
      </c>
      <c r="I84" s="14" t="n">
        <v>85</v>
      </c>
      <c r="J84" s="12" t="s">
        <v>168</v>
      </c>
      <c r="K84" s="13"/>
    </row>
    <row r="85" customFormat="false" ht="15" hidden="false" customHeight="false" outlineLevel="0" collapsed="false">
      <c r="A85" s="12" t="s">
        <v>130</v>
      </c>
      <c r="B85" s="12" t="s">
        <v>16</v>
      </c>
      <c r="C85" s="12" t="s">
        <v>405</v>
      </c>
      <c r="D85" s="12" t="s">
        <v>406</v>
      </c>
      <c r="E85" s="12" t="s">
        <v>134</v>
      </c>
      <c r="F85" s="12" t="s">
        <v>134</v>
      </c>
      <c r="G85" s="12" t="s">
        <v>134</v>
      </c>
      <c r="H85" s="13" t="s">
        <v>378</v>
      </c>
      <c r="I85" s="14" t="n">
        <v>85</v>
      </c>
      <c r="J85" s="12" t="s">
        <v>168</v>
      </c>
      <c r="K85" s="13"/>
    </row>
    <row r="86" customFormat="false" ht="15" hidden="false" customHeight="false" outlineLevel="0" collapsed="false">
      <c r="A86" s="15" t="s">
        <v>130</v>
      </c>
      <c r="B86" s="15" t="s">
        <v>16</v>
      </c>
      <c r="C86" s="15" t="s">
        <v>407</v>
      </c>
      <c r="D86" s="15" t="s">
        <v>408</v>
      </c>
      <c r="E86" s="15" t="s">
        <v>134</v>
      </c>
      <c r="F86" s="15" t="s">
        <v>134</v>
      </c>
      <c r="G86" s="15" t="s">
        <v>134</v>
      </c>
      <c r="H86" s="16" t="s">
        <v>378</v>
      </c>
      <c r="I86" s="17" t="n">
        <v>85</v>
      </c>
      <c r="J86" s="15" t="s">
        <v>168</v>
      </c>
      <c r="K86" s="16"/>
    </row>
    <row r="87" customFormat="false" ht="15" hidden="false" customHeight="false" outlineLevel="0" collapsed="false">
      <c r="A87" s="12" t="s">
        <v>130</v>
      </c>
      <c r="B87" s="12" t="s">
        <v>16</v>
      </c>
      <c r="C87" s="12" t="s">
        <v>409</v>
      </c>
      <c r="D87" s="12" t="s">
        <v>410</v>
      </c>
      <c r="E87" s="12" t="s">
        <v>134</v>
      </c>
      <c r="F87" s="12" t="s">
        <v>134</v>
      </c>
      <c r="G87" s="12" t="s">
        <v>134</v>
      </c>
      <c r="H87" s="13" t="s">
        <v>378</v>
      </c>
      <c r="I87" s="14" t="n">
        <v>85</v>
      </c>
      <c r="J87" s="12" t="s">
        <v>168</v>
      </c>
      <c r="K87" s="13"/>
    </row>
    <row r="88" customFormat="false" ht="15" hidden="false" customHeight="false" outlineLevel="0" collapsed="false">
      <c r="A88" s="12" t="s">
        <v>130</v>
      </c>
      <c r="B88" s="12" t="s">
        <v>16</v>
      </c>
      <c r="C88" s="12" t="s">
        <v>411</v>
      </c>
      <c r="D88" s="12" t="s">
        <v>412</v>
      </c>
      <c r="E88" s="12" t="s">
        <v>134</v>
      </c>
      <c r="F88" s="12" t="s">
        <v>134</v>
      </c>
      <c r="G88" s="12" t="s">
        <v>134</v>
      </c>
      <c r="H88" s="13" t="s">
        <v>413</v>
      </c>
      <c r="I88" s="14" t="n">
        <v>85</v>
      </c>
      <c r="J88" s="12" t="s">
        <v>168</v>
      </c>
      <c r="K88" s="13"/>
    </row>
    <row r="89" customFormat="false" ht="15" hidden="false" customHeight="false" outlineLevel="0" collapsed="false">
      <c r="A89" s="12" t="s">
        <v>130</v>
      </c>
      <c r="B89" s="12" t="s">
        <v>16</v>
      </c>
      <c r="C89" s="12" t="s">
        <v>414</v>
      </c>
      <c r="D89" s="12" t="s">
        <v>415</v>
      </c>
      <c r="E89" s="12" t="s">
        <v>134</v>
      </c>
      <c r="F89" s="12" t="s">
        <v>134</v>
      </c>
      <c r="G89" s="12" t="s">
        <v>134</v>
      </c>
      <c r="H89" s="13" t="s">
        <v>378</v>
      </c>
      <c r="I89" s="14" t="n">
        <v>85</v>
      </c>
      <c r="J89" s="12" t="s">
        <v>168</v>
      </c>
      <c r="K89" s="13"/>
    </row>
    <row r="90" customFormat="false" ht="25.5" hidden="false" customHeight="true" outlineLevel="0" collapsed="false">
      <c r="A90" s="15" t="s">
        <v>130</v>
      </c>
      <c r="B90" s="15" t="s">
        <v>14</v>
      </c>
      <c r="C90" s="15" t="s">
        <v>416</v>
      </c>
      <c r="D90" s="15" t="s">
        <v>417</v>
      </c>
      <c r="E90" s="15" t="s">
        <v>134</v>
      </c>
      <c r="F90" s="15" t="s">
        <v>134</v>
      </c>
      <c r="G90" s="15" t="s">
        <v>134</v>
      </c>
      <c r="H90" s="16" t="s">
        <v>418</v>
      </c>
      <c r="I90" s="17" t="n">
        <v>90</v>
      </c>
      <c r="J90" s="15" t="s">
        <v>168</v>
      </c>
      <c r="K90" s="16" t="s">
        <v>419</v>
      </c>
    </row>
    <row r="91" customFormat="false" ht="38.25" hidden="false" customHeight="true" outlineLevel="0" collapsed="false">
      <c r="A91" s="12" t="s">
        <v>130</v>
      </c>
      <c r="B91" s="12" t="s">
        <v>14</v>
      </c>
      <c r="C91" s="12" t="s">
        <v>118</v>
      </c>
      <c r="D91" s="12" t="s">
        <v>119</v>
      </c>
      <c r="E91" s="12" t="s">
        <v>134</v>
      </c>
      <c r="F91" s="12" t="s">
        <v>134</v>
      </c>
      <c r="G91" s="12" t="s">
        <v>134</v>
      </c>
      <c r="H91" s="13" t="s">
        <v>420</v>
      </c>
      <c r="I91" s="14" t="n">
        <v>95</v>
      </c>
      <c r="J91" s="12" t="s">
        <v>168</v>
      </c>
      <c r="K91" s="13" t="s">
        <v>421</v>
      </c>
    </row>
    <row r="92" customFormat="false" ht="15" hidden="false" customHeight="false" outlineLevel="0" collapsed="false">
      <c r="A92" s="12" t="s">
        <v>130</v>
      </c>
      <c r="B92" s="12" t="s">
        <v>14</v>
      </c>
      <c r="C92" s="12" t="s">
        <v>422</v>
      </c>
      <c r="D92" s="12" t="s">
        <v>423</v>
      </c>
      <c r="E92" s="12" t="s">
        <v>134</v>
      </c>
      <c r="F92" s="12" t="s">
        <v>134</v>
      </c>
      <c r="G92" s="12" t="s">
        <v>134</v>
      </c>
      <c r="H92" s="13" t="s">
        <v>424</v>
      </c>
      <c r="I92" s="14" t="n">
        <v>90</v>
      </c>
      <c r="J92" s="12" t="s">
        <v>168</v>
      </c>
      <c r="K92" s="13" t="s">
        <v>425</v>
      </c>
    </row>
    <row r="93" customFormat="false" ht="15" hidden="false" customHeight="false" outlineLevel="0" collapsed="false">
      <c r="A93" s="15" t="s">
        <v>130</v>
      </c>
      <c r="B93" s="15" t="s">
        <v>16</v>
      </c>
      <c r="C93" s="15" t="s">
        <v>426</v>
      </c>
      <c r="D93" s="15" t="s">
        <v>427</v>
      </c>
      <c r="E93" s="15" t="s">
        <v>134</v>
      </c>
      <c r="F93" s="15" t="s">
        <v>134</v>
      </c>
      <c r="G93" s="15" t="s">
        <v>134</v>
      </c>
      <c r="H93" s="16" t="s">
        <v>428</v>
      </c>
      <c r="I93" s="17" t="n">
        <v>90</v>
      </c>
      <c r="J93" s="15" t="s">
        <v>168</v>
      </c>
      <c r="K93" s="16"/>
    </row>
    <row r="94" customFormat="false" ht="15" hidden="false" customHeight="false" outlineLevel="0" collapsed="false">
      <c r="A94" s="15" t="s">
        <v>130</v>
      </c>
      <c r="B94" s="15" t="s">
        <v>16</v>
      </c>
      <c r="C94" s="15" t="s">
        <v>429</v>
      </c>
      <c r="D94" s="15" t="s">
        <v>430</v>
      </c>
      <c r="E94" s="15" t="s">
        <v>134</v>
      </c>
      <c r="F94" s="15" t="s">
        <v>134</v>
      </c>
      <c r="G94" s="15" t="s">
        <v>134</v>
      </c>
      <c r="H94" s="16" t="s">
        <v>431</v>
      </c>
      <c r="I94" s="17" t="n">
        <v>90</v>
      </c>
      <c r="J94" s="15" t="s">
        <v>168</v>
      </c>
      <c r="K94" s="16"/>
    </row>
    <row r="95" customFormat="false" ht="15" hidden="false" customHeight="false" outlineLevel="0" collapsed="false">
      <c r="A95" s="12" t="s">
        <v>130</v>
      </c>
      <c r="B95" s="12" t="s">
        <v>16</v>
      </c>
      <c r="C95" s="12" t="s">
        <v>432</v>
      </c>
      <c r="D95" s="12" t="s">
        <v>433</v>
      </c>
      <c r="E95" s="12" t="s">
        <v>134</v>
      </c>
      <c r="F95" s="12" t="s">
        <v>134</v>
      </c>
      <c r="G95" s="12" t="s">
        <v>134</v>
      </c>
      <c r="H95" s="13" t="s">
        <v>431</v>
      </c>
      <c r="I95" s="14" t="n">
        <v>90</v>
      </c>
      <c r="J95" s="12" t="s">
        <v>168</v>
      </c>
      <c r="K95" s="13"/>
    </row>
    <row r="96" customFormat="false" ht="15" hidden="false" customHeight="false" outlineLevel="0" collapsed="false">
      <c r="A96" s="12" t="s">
        <v>130</v>
      </c>
      <c r="B96" s="12" t="s">
        <v>16</v>
      </c>
      <c r="C96" s="12" t="s">
        <v>434</v>
      </c>
      <c r="D96" s="12" t="s">
        <v>435</v>
      </c>
      <c r="E96" s="12" t="s">
        <v>134</v>
      </c>
      <c r="F96" s="12" t="s">
        <v>134</v>
      </c>
      <c r="G96" s="12" t="s">
        <v>134</v>
      </c>
      <c r="H96" s="13" t="s">
        <v>436</v>
      </c>
      <c r="I96" s="14" t="n">
        <v>90</v>
      </c>
      <c r="J96" s="12" t="s">
        <v>168</v>
      </c>
      <c r="K96" s="13"/>
    </row>
    <row r="97" customFormat="false" ht="15" hidden="false" customHeight="false" outlineLevel="0" collapsed="false">
      <c r="A97" s="15" t="s">
        <v>130</v>
      </c>
      <c r="B97" s="15" t="s">
        <v>16</v>
      </c>
      <c r="C97" s="15" t="s">
        <v>437</v>
      </c>
      <c r="D97" s="15" t="s">
        <v>438</v>
      </c>
      <c r="E97" s="15" t="s">
        <v>134</v>
      </c>
      <c r="F97" s="15" t="s">
        <v>134</v>
      </c>
      <c r="G97" s="15" t="s">
        <v>134</v>
      </c>
      <c r="H97" s="16" t="s">
        <v>378</v>
      </c>
      <c r="I97" s="17" t="n">
        <v>90</v>
      </c>
      <c r="J97" s="15" t="s">
        <v>168</v>
      </c>
      <c r="K97" s="16"/>
    </row>
    <row r="98" customFormat="false" ht="25.5" hidden="false" customHeight="true" outlineLevel="0" collapsed="false">
      <c r="A98" s="15" t="s">
        <v>130</v>
      </c>
      <c r="B98" s="15" t="s">
        <v>16</v>
      </c>
      <c r="C98" s="15" t="s">
        <v>439</v>
      </c>
      <c r="D98" s="15" t="s">
        <v>440</v>
      </c>
      <c r="E98" s="15" t="s">
        <v>134</v>
      </c>
      <c r="F98" s="15" t="s">
        <v>134</v>
      </c>
      <c r="G98" s="15" t="s">
        <v>134</v>
      </c>
      <c r="H98" s="16" t="s">
        <v>441</v>
      </c>
      <c r="I98" s="17" t="n">
        <v>90</v>
      </c>
      <c r="J98" s="15" t="s">
        <v>168</v>
      </c>
      <c r="K98" s="16"/>
    </row>
    <row r="99" customFormat="false" ht="15" hidden="false" customHeight="false" outlineLevel="0" collapsed="false">
      <c r="A99" s="15" t="s">
        <v>130</v>
      </c>
      <c r="B99" s="15" t="s">
        <v>16</v>
      </c>
      <c r="C99" s="15" t="s">
        <v>442</v>
      </c>
      <c r="D99" s="15" t="s">
        <v>443</v>
      </c>
      <c r="E99" s="15" t="s">
        <v>134</v>
      </c>
      <c r="F99" s="15" t="s">
        <v>134</v>
      </c>
      <c r="G99" s="15" t="s">
        <v>134</v>
      </c>
      <c r="H99" s="16" t="s">
        <v>378</v>
      </c>
      <c r="I99" s="17" t="n">
        <v>90</v>
      </c>
      <c r="J99" s="15" t="s">
        <v>168</v>
      </c>
      <c r="K99" s="16"/>
    </row>
    <row r="100" customFormat="false" ht="15" hidden="false" customHeight="false" outlineLevel="0" collapsed="false">
      <c r="A100" s="12" t="s">
        <v>130</v>
      </c>
      <c r="B100" s="12" t="s">
        <v>16</v>
      </c>
      <c r="C100" s="12" t="s">
        <v>444</v>
      </c>
      <c r="D100" s="12" t="s">
        <v>445</v>
      </c>
      <c r="E100" s="12" t="s">
        <v>134</v>
      </c>
      <c r="F100" s="12" t="s">
        <v>134</v>
      </c>
      <c r="G100" s="12" t="s">
        <v>134</v>
      </c>
      <c r="H100" s="13" t="s">
        <v>378</v>
      </c>
      <c r="I100" s="14" t="n">
        <v>90</v>
      </c>
      <c r="J100" s="12" t="s">
        <v>168</v>
      </c>
      <c r="K100" s="13"/>
    </row>
    <row r="101" customFormat="false" ht="15" hidden="false" customHeight="false" outlineLevel="0" collapsed="false">
      <c r="A101" s="15" t="s">
        <v>130</v>
      </c>
      <c r="B101" s="15" t="s">
        <v>16</v>
      </c>
      <c r="C101" s="15" t="s">
        <v>446</v>
      </c>
      <c r="D101" s="15" t="s">
        <v>447</v>
      </c>
      <c r="E101" s="15" t="s">
        <v>134</v>
      </c>
      <c r="F101" s="15" t="s">
        <v>134</v>
      </c>
      <c r="G101" s="15" t="s">
        <v>134</v>
      </c>
      <c r="H101" s="16" t="s">
        <v>378</v>
      </c>
      <c r="I101" s="17" t="n">
        <v>90</v>
      </c>
      <c r="J101" s="15" t="s">
        <v>168</v>
      </c>
      <c r="K101" s="16"/>
    </row>
    <row r="102" customFormat="false" ht="15" hidden="false" customHeight="false" outlineLevel="0" collapsed="false">
      <c r="A102" s="12" t="s">
        <v>130</v>
      </c>
      <c r="B102" s="12" t="s">
        <v>16</v>
      </c>
      <c r="C102" s="12" t="s">
        <v>448</v>
      </c>
      <c r="D102" s="12" t="s">
        <v>449</v>
      </c>
      <c r="E102" s="12" t="s">
        <v>134</v>
      </c>
      <c r="F102" s="12" t="s">
        <v>134</v>
      </c>
      <c r="G102" s="12" t="s">
        <v>134</v>
      </c>
      <c r="H102" s="13" t="s">
        <v>378</v>
      </c>
      <c r="I102" s="14" t="n">
        <v>90</v>
      </c>
      <c r="J102" s="12" t="s">
        <v>168</v>
      </c>
      <c r="K102" s="13"/>
    </row>
    <row r="103" customFormat="false" ht="15" hidden="false" customHeight="false" outlineLevel="0" collapsed="false">
      <c r="A103" s="15" t="s">
        <v>130</v>
      </c>
      <c r="B103" s="15" t="s">
        <v>16</v>
      </c>
      <c r="C103" s="15" t="s">
        <v>450</v>
      </c>
      <c r="D103" s="15" t="s">
        <v>451</v>
      </c>
      <c r="E103" s="15" t="s">
        <v>134</v>
      </c>
      <c r="F103" s="15" t="s">
        <v>134</v>
      </c>
      <c r="G103" s="15" t="s">
        <v>134</v>
      </c>
      <c r="H103" s="16" t="s">
        <v>378</v>
      </c>
      <c r="I103" s="17" t="n">
        <v>90</v>
      </c>
      <c r="J103" s="15" t="s">
        <v>168</v>
      </c>
      <c r="K103" s="16"/>
    </row>
    <row r="104" customFormat="false" ht="15" hidden="false" customHeight="false" outlineLevel="0" collapsed="false">
      <c r="A104" s="12" t="s">
        <v>130</v>
      </c>
      <c r="B104" s="12" t="s">
        <v>16</v>
      </c>
      <c r="C104" s="12" t="s">
        <v>452</v>
      </c>
      <c r="D104" s="12" t="s">
        <v>453</v>
      </c>
      <c r="E104" s="12" t="s">
        <v>134</v>
      </c>
      <c r="F104" s="12" t="s">
        <v>134</v>
      </c>
      <c r="G104" s="12" t="s">
        <v>134</v>
      </c>
      <c r="H104" s="13" t="s">
        <v>378</v>
      </c>
      <c r="I104" s="14" t="n">
        <v>90</v>
      </c>
      <c r="J104" s="12" t="s">
        <v>168</v>
      </c>
      <c r="K104" s="13"/>
    </row>
    <row r="105" customFormat="false" ht="15" hidden="false" customHeight="false" outlineLevel="0" collapsed="false">
      <c r="A105" s="15" t="s">
        <v>130</v>
      </c>
      <c r="B105" s="15" t="s">
        <v>16</v>
      </c>
      <c r="C105" s="15" t="s">
        <v>454</v>
      </c>
      <c r="D105" s="15" t="s">
        <v>455</v>
      </c>
      <c r="E105" s="15" t="s">
        <v>134</v>
      </c>
      <c r="F105" s="15" t="s">
        <v>134</v>
      </c>
      <c r="G105" s="15" t="s">
        <v>134</v>
      </c>
      <c r="H105" s="16" t="s">
        <v>378</v>
      </c>
      <c r="I105" s="17" t="n">
        <v>90</v>
      </c>
      <c r="J105" s="15" t="s">
        <v>168</v>
      </c>
      <c r="K105" s="16"/>
    </row>
    <row r="106" customFormat="false" ht="15" hidden="false" customHeight="false" outlineLevel="0" collapsed="false">
      <c r="A106" s="12" t="s">
        <v>130</v>
      </c>
      <c r="B106" s="12" t="s">
        <v>16</v>
      </c>
      <c r="C106" s="12" t="s">
        <v>456</v>
      </c>
      <c r="D106" s="12" t="s">
        <v>457</v>
      </c>
      <c r="E106" s="12" t="s">
        <v>134</v>
      </c>
      <c r="F106" s="12" t="s">
        <v>134</v>
      </c>
      <c r="G106" s="12" t="s">
        <v>134</v>
      </c>
      <c r="H106" s="13" t="s">
        <v>378</v>
      </c>
      <c r="I106" s="14" t="n">
        <v>90</v>
      </c>
      <c r="J106" s="12" t="s">
        <v>168</v>
      </c>
      <c r="K106" s="13"/>
    </row>
    <row r="107" customFormat="false" ht="15" hidden="false" customHeight="false" outlineLevel="0" collapsed="false">
      <c r="A107" s="12" t="s">
        <v>130</v>
      </c>
      <c r="B107" s="12" t="s">
        <v>16</v>
      </c>
      <c r="C107" s="12" t="s">
        <v>458</v>
      </c>
      <c r="D107" s="12" t="s">
        <v>459</v>
      </c>
      <c r="E107" s="12" t="s">
        <v>134</v>
      </c>
      <c r="F107" s="12" t="s">
        <v>134</v>
      </c>
      <c r="G107" s="12" t="s">
        <v>134</v>
      </c>
      <c r="H107" s="13" t="s">
        <v>378</v>
      </c>
      <c r="I107" s="14" t="n">
        <v>90</v>
      </c>
      <c r="J107" s="12" t="s">
        <v>168</v>
      </c>
      <c r="K107" s="13"/>
    </row>
    <row r="108" customFormat="false" ht="25.5" hidden="false" customHeight="true" outlineLevel="0" collapsed="false">
      <c r="A108" s="15" t="s">
        <v>130</v>
      </c>
      <c r="B108" s="15" t="s">
        <v>16</v>
      </c>
      <c r="C108" s="15" t="s">
        <v>460</v>
      </c>
      <c r="D108" s="15" t="s">
        <v>461</v>
      </c>
      <c r="E108" s="15" t="s">
        <v>134</v>
      </c>
      <c r="F108" s="15" t="s">
        <v>134</v>
      </c>
      <c r="G108" s="15" t="s">
        <v>134</v>
      </c>
      <c r="H108" s="16" t="s">
        <v>462</v>
      </c>
      <c r="I108" s="17" t="n">
        <v>90</v>
      </c>
      <c r="J108" s="15" t="s">
        <v>168</v>
      </c>
      <c r="K108" s="16"/>
    </row>
    <row r="109" customFormat="false" ht="15" hidden="false" customHeight="false" outlineLevel="0" collapsed="false">
      <c r="A109" s="12" t="s">
        <v>130</v>
      </c>
      <c r="B109" s="12" t="s">
        <v>16</v>
      </c>
      <c r="C109" s="12" t="s">
        <v>463</v>
      </c>
      <c r="D109" s="12" t="s">
        <v>464</v>
      </c>
      <c r="E109" s="12" t="s">
        <v>134</v>
      </c>
      <c r="F109" s="12" t="s">
        <v>134</v>
      </c>
      <c r="G109" s="12" t="s">
        <v>134</v>
      </c>
      <c r="H109" s="13" t="s">
        <v>431</v>
      </c>
      <c r="I109" s="14" t="n">
        <v>90</v>
      </c>
      <c r="J109" s="12" t="s">
        <v>168</v>
      </c>
      <c r="K109" s="13"/>
    </row>
    <row r="110" customFormat="false" ht="15" hidden="false" customHeight="false" outlineLevel="0" collapsed="false">
      <c r="A110" s="15" t="s">
        <v>130</v>
      </c>
      <c r="B110" s="15" t="s">
        <v>16</v>
      </c>
      <c r="C110" s="15" t="s">
        <v>465</v>
      </c>
      <c r="D110" s="15" t="s">
        <v>466</v>
      </c>
      <c r="E110" s="15" t="s">
        <v>134</v>
      </c>
      <c r="F110" s="15" t="s">
        <v>134</v>
      </c>
      <c r="G110" s="15" t="s">
        <v>134</v>
      </c>
      <c r="H110" s="16" t="s">
        <v>378</v>
      </c>
      <c r="I110" s="17" t="n">
        <v>90</v>
      </c>
      <c r="J110" s="15" t="s">
        <v>168</v>
      </c>
      <c r="K110" s="16"/>
    </row>
    <row r="111" customFormat="false" ht="15" hidden="false" customHeight="false" outlineLevel="0" collapsed="false">
      <c r="A111" s="12" t="s">
        <v>130</v>
      </c>
      <c r="B111" s="12" t="s">
        <v>16</v>
      </c>
      <c r="C111" s="12" t="s">
        <v>467</v>
      </c>
      <c r="D111" s="12" t="s">
        <v>468</v>
      </c>
      <c r="E111" s="12" t="s">
        <v>134</v>
      </c>
      <c r="F111" s="12" t="s">
        <v>134</v>
      </c>
      <c r="G111" s="12" t="s">
        <v>134</v>
      </c>
      <c r="H111" s="13" t="s">
        <v>469</v>
      </c>
      <c r="I111" s="14" t="n">
        <v>90</v>
      </c>
      <c r="J111" s="12" t="s">
        <v>168</v>
      </c>
      <c r="K111" s="13"/>
    </row>
    <row r="112" customFormat="false" ht="15" hidden="false" customHeight="false" outlineLevel="0" collapsed="false">
      <c r="A112" s="12" t="s">
        <v>130</v>
      </c>
      <c r="B112" s="12" t="s">
        <v>16</v>
      </c>
      <c r="C112" s="12" t="s">
        <v>470</v>
      </c>
      <c r="D112" s="12" t="s">
        <v>471</v>
      </c>
      <c r="E112" s="12" t="s">
        <v>134</v>
      </c>
      <c r="F112" s="12" t="s">
        <v>134</v>
      </c>
      <c r="G112" s="12" t="s">
        <v>134</v>
      </c>
      <c r="H112" s="13" t="s">
        <v>378</v>
      </c>
      <c r="I112" s="14" t="n">
        <v>90</v>
      </c>
      <c r="J112" s="12" t="s">
        <v>168</v>
      </c>
      <c r="K112" s="13"/>
    </row>
    <row r="113" customFormat="false" ht="15" hidden="false" customHeight="false" outlineLevel="0" collapsed="false">
      <c r="A113" s="15" t="s">
        <v>130</v>
      </c>
      <c r="B113" s="15" t="s">
        <v>16</v>
      </c>
      <c r="C113" s="15" t="s">
        <v>472</v>
      </c>
      <c r="D113" s="15" t="s">
        <v>473</v>
      </c>
      <c r="E113" s="15" t="s">
        <v>134</v>
      </c>
      <c r="F113" s="15" t="s">
        <v>134</v>
      </c>
      <c r="G113" s="15" t="s">
        <v>134</v>
      </c>
      <c r="H113" s="16" t="s">
        <v>378</v>
      </c>
      <c r="I113" s="17" t="n">
        <v>90</v>
      </c>
      <c r="J113" s="15" t="s">
        <v>168</v>
      </c>
      <c r="K113" s="16"/>
    </row>
    <row r="114" customFormat="false" ht="15" hidden="false" customHeight="false" outlineLevel="0" collapsed="false">
      <c r="A114" s="15" t="s">
        <v>130</v>
      </c>
      <c r="B114" s="15" t="s">
        <v>16</v>
      </c>
      <c r="C114" s="15" t="s">
        <v>474</v>
      </c>
      <c r="D114" s="15" t="s">
        <v>475</v>
      </c>
      <c r="E114" s="15" t="s">
        <v>134</v>
      </c>
      <c r="F114" s="15" t="s">
        <v>134</v>
      </c>
      <c r="G114" s="15" t="s">
        <v>134</v>
      </c>
      <c r="H114" s="16" t="s">
        <v>378</v>
      </c>
      <c r="I114" s="17" t="n">
        <v>90</v>
      </c>
      <c r="J114" s="15" t="s">
        <v>168</v>
      </c>
      <c r="K114" s="16"/>
    </row>
    <row r="115" customFormat="false" ht="15" hidden="false" customHeight="false" outlineLevel="0" collapsed="false">
      <c r="A115" s="12" t="s">
        <v>130</v>
      </c>
      <c r="B115" s="12" t="s">
        <v>16</v>
      </c>
      <c r="C115" s="12" t="s">
        <v>476</v>
      </c>
      <c r="D115" s="12" t="s">
        <v>477</v>
      </c>
      <c r="E115" s="12" t="s">
        <v>134</v>
      </c>
      <c r="F115" s="12" t="s">
        <v>134</v>
      </c>
      <c r="G115" s="12" t="s">
        <v>134</v>
      </c>
      <c r="H115" s="13" t="s">
        <v>378</v>
      </c>
      <c r="I115" s="14" t="n">
        <v>90</v>
      </c>
      <c r="J115" s="12" t="s">
        <v>168</v>
      </c>
      <c r="K115" s="13"/>
    </row>
    <row r="116" customFormat="false" ht="15" hidden="false" customHeight="false" outlineLevel="0" collapsed="false">
      <c r="A116" s="15" t="s">
        <v>130</v>
      </c>
      <c r="B116" s="15" t="s">
        <v>16</v>
      </c>
      <c r="C116" s="15" t="s">
        <v>478</v>
      </c>
      <c r="D116" s="15" t="s">
        <v>479</v>
      </c>
      <c r="E116" s="15" t="s">
        <v>480</v>
      </c>
      <c r="F116" s="15" t="s">
        <v>134</v>
      </c>
      <c r="G116" s="15" t="s">
        <v>134</v>
      </c>
      <c r="H116" s="16" t="s">
        <v>428</v>
      </c>
      <c r="I116" s="17" t="n">
        <v>90</v>
      </c>
      <c r="J116" s="15" t="s">
        <v>168</v>
      </c>
      <c r="K116" s="16"/>
    </row>
    <row r="117" customFormat="false" ht="15" hidden="false" customHeight="false" outlineLevel="0" collapsed="false">
      <c r="A117" s="12" t="s">
        <v>130</v>
      </c>
      <c r="B117" s="12" t="s">
        <v>16</v>
      </c>
      <c r="C117" s="12" t="s">
        <v>481</v>
      </c>
      <c r="D117" s="12" t="s">
        <v>482</v>
      </c>
      <c r="E117" s="12" t="s">
        <v>483</v>
      </c>
      <c r="F117" s="12" t="s">
        <v>134</v>
      </c>
      <c r="G117" s="12" t="s">
        <v>134</v>
      </c>
      <c r="H117" s="13" t="s">
        <v>428</v>
      </c>
      <c r="I117" s="14" t="n">
        <v>90</v>
      </c>
      <c r="J117" s="12" t="s">
        <v>168</v>
      </c>
      <c r="K117" s="13"/>
    </row>
    <row r="118" customFormat="false" ht="15" hidden="false" customHeight="false" outlineLevel="0" collapsed="false">
      <c r="A118" s="15" t="s">
        <v>130</v>
      </c>
      <c r="B118" s="15" t="s">
        <v>16</v>
      </c>
      <c r="C118" s="15" t="s">
        <v>484</v>
      </c>
      <c r="D118" s="15" t="s">
        <v>485</v>
      </c>
      <c r="E118" s="15" t="s">
        <v>134</v>
      </c>
      <c r="F118" s="15" t="s">
        <v>134</v>
      </c>
      <c r="G118" s="15" t="s">
        <v>134</v>
      </c>
      <c r="H118" s="16" t="s">
        <v>486</v>
      </c>
      <c r="I118" s="17" t="n">
        <v>90</v>
      </c>
      <c r="J118" s="15" t="s">
        <v>168</v>
      </c>
      <c r="K118" s="16"/>
    </row>
    <row r="119" customFormat="false" ht="15" hidden="false" customHeight="false" outlineLevel="0" collapsed="false">
      <c r="A119" s="12" t="s">
        <v>130</v>
      </c>
      <c r="B119" s="12" t="s">
        <v>16</v>
      </c>
      <c r="C119" s="12" t="s">
        <v>487</v>
      </c>
      <c r="D119" s="12" t="s">
        <v>488</v>
      </c>
      <c r="E119" s="12" t="s">
        <v>134</v>
      </c>
      <c r="F119" s="12" t="s">
        <v>134</v>
      </c>
      <c r="G119" s="12" t="s">
        <v>134</v>
      </c>
      <c r="H119" s="13" t="s">
        <v>378</v>
      </c>
      <c r="I119" s="14" t="n">
        <v>90</v>
      </c>
      <c r="J119" s="12" t="s">
        <v>168</v>
      </c>
      <c r="K119" s="13"/>
    </row>
    <row r="120" customFormat="false" ht="25.5" hidden="false" customHeight="true" outlineLevel="0" collapsed="false">
      <c r="A120" s="15" t="s">
        <v>130</v>
      </c>
      <c r="B120" s="15" t="s">
        <v>18</v>
      </c>
      <c r="C120" s="15" t="s">
        <v>489</v>
      </c>
      <c r="D120" s="15" t="s">
        <v>490</v>
      </c>
      <c r="E120" s="15" t="s">
        <v>134</v>
      </c>
      <c r="F120" s="15" t="s">
        <v>134</v>
      </c>
      <c r="G120" s="15" t="s">
        <v>134</v>
      </c>
      <c r="H120" s="16" t="s">
        <v>491</v>
      </c>
      <c r="I120" s="17" t="n">
        <v>90</v>
      </c>
      <c r="J120" s="15" t="s">
        <v>168</v>
      </c>
      <c r="K120" s="16" t="s">
        <v>492</v>
      </c>
    </row>
    <row r="121" customFormat="false" ht="25.5" hidden="false" customHeight="true" outlineLevel="0" collapsed="false">
      <c r="A121" s="15" t="s">
        <v>130</v>
      </c>
      <c r="B121" s="15" t="s">
        <v>19</v>
      </c>
      <c r="C121" s="15" t="s">
        <v>493</v>
      </c>
      <c r="D121" s="15" t="s">
        <v>494</v>
      </c>
      <c r="E121" s="15" t="s">
        <v>134</v>
      </c>
      <c r="F121" s="15" t="s">
        <v>134</v>
      </c>
      <c r="G121" s="15" t="s">
        <v>134</v>
      </c>
      <c r="H121" s="16" t="s">
        <v>495</v>
      </c>
      <c r="I121" s="17" t="n">
        <v>90</v>
      </c>
      <c r="J121" s="15" t="s">
        <v>168</v>
      </c>
      <c r="K121" s="16" t="s">
        <v>496</v>
      </c>
    </row>
    <row r="122" customFormat="false" ht="15" hidden="false" customHeight="false" outlineLevel="0" collapsed="false">
      <c r="A122" s="12" t="s">
        <v>191</v>
      </c>
      <c r="B122" s="12" t="s">
        <v>12</v>
      </c>
      <c r="C122" s="12" t="s">
        <v>497</v>
      </c>
      <c r="D122" s="12" t="s">
        <v>498</v>
      </c>
      <c r="E122" s="12" t="s">
        <v>134</v>
      </c>
      <c r="F122" s="12" t="s">
        <v>134</v>
      </c>
      <c r="G122" s="12" t="s">
        <v>134</v>
      </c>
      <c r="H122" s="13" t="s">
        <v>499</v>
      </c>
      <c r="I122" s="14" t="n">
        <v>95</v>
      </c>
      <c r="J122" s="12" t="s">
        <v>168</v>
      </c>
      <c r="K122" s="13" t="s">
        <v>500</v>
      </c>
    </row>
    <row r="123" customFormat="false" ht="15" hidden="false" customHeight="false" outlineLevel="0" collapsed="false">
      <c r="A123" s="15" t="s">
        <v>191</v>
      </c>
      <c r="B123" s="15" t="s">
        <v>12</v>
      </c>
      <c r="C123" s="15" t="s">
        <v>501</v>
      </c>
      <c r="D123" s="15" t="s">
        <v>502</v>
      </c>
      <c r="E123" s="15" t="s">
        <v>134</v>
      </c>
      <c r="F123" s="15" t="s">
        <v>134</v>
      </c>
      <c r="G123" s="15" t="s">
        <v>134</v>
      </c>
      <c r="H123" s="16" t="s">
        <v>499</v>
      </c>
      <c r="I123" s="17" t="n">
        <v>95</v>
      </c>
      <c r="J123" s="15" t="s">
        <v>168</v>
      </c>
      <c r="K123" s="16" t="s">
        <v>500</v>
      </c>
    </row>
    <row r="124" customFormat="false" ht="25.5" hidden="false" customHeight="true" outlineLevel="0" collapsed="false">
      <c r="A124" s="15" t="s">
        <v>191</v>
      </c>
      <c r="B124" s="15" t="s">
        <v>13</v>
      </c>
      <c r="C124" s="15" t="s">
        <v>503</v>
      </c>
      <c r="D124" s="15" t="s">
        <v>504</v>
      </c>
      <c r="E124" s="15" t="s">
        <v>134</v>
      </c>
      <c r="F124" s="15" t="s">
        <v>134</v>
      </c>
      <c r="G124" s="15" t="s">
        <v>134</v>
      </c>
      <c r="H124" s="16" t="s">
        <v>505</v>
      </c>
      <c r="I124" s="17" t="n">
        <v>95</v>
      </c>
      <c r="J124" s="15" t="s">
        <v>168</v>
      </c>
      <c r="K124" s="16" t="s">
        <v>506</v>
      </c>
    </row>
    <row r="125" customFormat="false" ht="25.5" hidden="false" customHeight="true" outlineLevel="0" collapsed="false">
      <c r="A125" s="12" t="s">
        <v>130</v>
      </c>
      <c r="B125" s="12" t="s">
        <v>16</v>
      </c>
      <c r="C125" s="12" t="s">
        <v>507</v>
      </c>
      <c r="D125" s="12" t="s">
        <v>508</v>
      </c>
      <c r="E125" s="12" t="s">
        <v>134</v>
      </c>
      <c r="F125" s="12" t="s">
        <v>134</v>
      </c>
      <c r="G125" s="12" t="s">
        <v>134</v>
      </c>
      <c r="H125" s="13" t="s">
        <v>509</v>
      </c>
      <c r="I125" s="14" t="n">
        <v>95</v>
      </c>
      <c r="J125" s="12" t="s">
        <v>168</v>
      </c>
      <c r="K125" s="13"/>
    </row>
    <row r="126" customFormat="false" ht="25.5" hidden="false" customHeight="true" outlineLevel="0" collapsed="false">
      <c r="A126" s="12" t="s">
        <v>130</v>
      </c>
      <c r="B126" s="12" t="s">
        <v>19</v>
      </c>
      <c r="C126" s="12" t="s">
        <v>510</v>
      </c>
      <c r="D126" s="12" t="s">
        <v>511</v>
      </c>
      <c r="E126" s="12" t="s">
        <v>134</v>
      </c>
      <c r="F126" s="12" t="s">
        <v>134</v>
      </c>
      <c r="G126" s="12" t="s">
        <v>134</v>
      </c>
      <c r="H126" s="13" t="s">
        <v>512</v>
      </c>
      <c r="I126" s="14" t="n">
        <v>95</v>
      </c>
      <c r="J126" s="12" t="s">
        <v>168</v>
      </c>
      <c r="K126" s="13" t="s">
        <v>513</v>
      </c>
    </row>
    <row r="127" customFormat="false" ht="25.5" hidden="false" customHeight="true" outlineLevel="0" collapsed="false">
      <c r="A127" s="12" t="s">
        <v>145</v>
      </c>
      <c r="B127" s="12" t="s">
        <v>22</v>
      </c>
      <c r="C127" s="12" t="s">
        <v>514</v>
      </c>
      <c r="D127" s="12" t="s">
        <v>515</v>
      </c>
      <c r="E127" s="12" t="s">
        <v>134</v>
      </c>
      <c r="F127" s="12" t="s">
        <v>134</v>
      </c>
      <c r="G127" s="12" t="s">
        <v>134</v>
      </c>
      <c r="H127" s="13" t="s">
        <v>516</v>
      </c>
      <c r="I127" s="14" t="n">
        <v>95</v>
      </c>
      <c r="J127" s="12" t="s">
        <v>168</v>
      </c>
      <c r="K127" s="13" t="s">
        <v>517</v>
      </c>
    </row>
    <row r="128" customFormat="false" ht="38.25" hidden="false" customHeight="true" outlineLevel="0" collapsed="false">
      <c r="A128" s="15" t="s">
        <v>518</v>
      </c>
      <c r="B128" s="15" t="s">
        <v>25</v>
      </c>
      <c r="C128" s="15" t="s">
        <v>519</v>
      </c>
      <c r="D128" s="15" t="s">
        <v>520</v>
      </c>
      <c r="E128" s="15" t="s">
        <v>134</v>
      </c>
      <c r="F128" s="15" t="s">
        <v>159</v>
      </c>
      <c r="G128" s="15" t="s">
        <v>159</v>
      </c>
      <c r="H128" s="16" t="s">
        <v>521</v>
      </c>
      <c r="I128" s="17" t="n">
        <v>95</v>
      </c>
      <c r="J128" s="15" t="s">
        <v>168</v>
      </c>
      <c r="K128" s="16" t="s">
        <v>522</v>
      </c>
    </row>
    <row r="129" customFormat="false" ht="38.25" hidden="false" customHeight="true" outlineLevel="0" collapsed="false">
      <c r="A129" s="12" t="s">
        <v>191</v>
      </c>
      <c r="B129" s="12" t="s">
        <v>13</v>
      </c>
      <c r="C129" s="12" t="s">
        <v>523</v>
      </c>
      <c r="D129" s="12" t="s">
        <v>524</v>
      </c>
      <c r="E129" s="12" t="s">
        <v>134</v>
      </c>
      <c r="F129" s="12" t="s">
        <v>134</v>
      </c>
      <c r="G129" s="12" t="s">
        <v>134</v>
      </c>
      <c r="H129" s="13" t="s">
        <v>525</v>
      </c>
      <c r="I129" s="14" t="n">
        <v>100</v>
      </c>
      <c r="J129" s="12" t="s">
        <v>168</v>
      </c>
      <c r="K129" s="13" t="s">
        <v>526</v>
      </c>
    </row>
    <row r="130" customFormat="false" ht="51" hidden="false" customHeight="true" outlineLevel="0" collapsed="false">
      <c r="A130" s="15" t="s">
        <v>191</v>
      </c>
      <c r="B130" s="15" t="s">
        <v>13</v>
      </c>
      <c r="C130" s="15" t="s">
        <v>527</v>
      </c>
      <c r="D130" s="15" t="s">
        <v>528</v>
      </c>
      <c r="E130" s="15" t="s">
        <v>134</v>
      </c>
      <c r="F130" s="15" t="s">
        <v>134</v>
      </c>
      <c r="G130" s="15" t="s">
        <v>529</v>
      </c>
      <c r="H130" s="16" t="s">
        <v>530</v>
      </c>
      <c r="I130" s="17" t="n">
        <v>100</v>
      </c>
      <c r="J130" s="15" t="s">
        <v>168</v>
      </c>
      <c r="K130" s="16" t="s">
        <v>531</v>
      </c>
    </row>
    <row r="131" customFormat="false" ht="51" hidden="false" customHeight="true" outlineLevel="0" collapsed="false">
      <c r="A131" s="15" t="s">
        <v>191</v>
      </c>
      <c r="B131" s="15" t="s">
        <v>13</v>
      </c>
      <c r="C131" s="15" t="s">
        <v>532</v>
      </c>
      <c r="D131" s="15" t="s">
        <v>533</v>
      </c>
      <c r="E131" s="15" t="s">
        <v>134</v>
      </c>
      <c r="F131" s="15" t="s">
        <v>134</v>
      </c>
      <c r="G131" s="15" t="s">
        <v>134</v>
      </c>
      <c r="H131" s="16" t="s">
        <v>534</v>
      </c>
      <c r="I131" s="17" t="n">
        <v>100</v>
      </c>
      <c r="J131" s="15" t="s">
        <v>168</v>
      </c>
      <c r="K131" s="16" t="s">
        <v>535</v>
      </c>
    </row>
    <row r="132" customFormat="false" ht="25.5" hidden="false" customHeight="true" outlineLevel="0" collapsed="false">
      <c r="A132" s="15" t="s">
        <v>130</v>
      </c>
      <c r="B132" s="15" t="s">
        <v>14</v>
      </c>
      <c r="C132" s="15" t="s">
        <v>536</v>
      </c>
      <c r="D132" s="15" t="s">
        <v>533</v>
      </c>
      <c r="E132" s="15" t="s">
        <v>537</v>
      </c>
      <c r="F132" s="15" t="s">
        <v>134</v>
      </c>
      <c r="G132" s="15" t="s">
        <v>134</v>
      </c>
      <c r="H132" s="16" t="s">
        <v>538</v>
      </c>
      <c r="I132" s="17" t="n">
        <v>100</v>
      </c>
      <c r="J132" s="15" t="s">
        <v>168</v>
      </c>
      <c r="K132" s="16" t="s">
        <v>539</v>
      </c>
    </row>
    <row r="133" customFormat="false" ht="25.5" hidden="false" customHeight="true" outlineLevel="0" collapsed="false">
      <c r="A133" s="15" t="s">
        <v>158</v>
      </c>
      <c r="B133" s="15" t="s">
        <v>159</v>
      </c>
      <c r="C133" s="15" t="s">
        <v>540</v>
      </c>
      <c r="D133" s="15" t="s">
        <v>541</v>
      </c>
      <c r="E133" s="15" t="s">
        <v>542</v>
      </c>
      <c r="F133" s="15" t="s">
        <v>228</v>
      </c>
      <c r="G133" s="15" t="s">
        <v>228</v>
      </c>
      <c r="H133" s="16" t="s">
        <v>543</v>
      </c>
      <c r="I133" s="17" t="s">
        <v>159</v>
      </c>
      <c r="J133" s="15" t="s">
        <v>544</v>
      </c>
      <c r="K133" s="16" t="s">
        <v>545</v>
      </c>
    </row>
    <row r="134" customFormat="false" ht="46.25" hidden="false" customHeight="false" outlineLevel="0" collapsed="false">
      <c r="A134" s="12" t="s">
        <v>130</v>
      </c>
      <c r="B134" s="12" t="s">
        <v>18</v>
      </c>
      <c r="C134" s="12" t="s">
        <v>546</v>
      </c>
      <c r="D134" s="12" t="s">
        <v>70</v>
      </c>
      <c r="E134" s="12" t="s">
        <v>134</v>
      </c>
      <c r="F134" s="12" t="s">
        <v>134</v>
      </c>
      <c r="G134" s="12" t="s">
        <v>134</v>
      </c>
      <c r="H134" s="13" t="s">
        <v>547</v>
      </c>
      <c r="I134" s="14" t="n">
        <v>90</v>
      </c>
      <c r="J134" s="12" t="s">
        <v>168</v>
      </c>
      <c r="K134" s="13" t="s">
        <v>548</v>
      </c>
    </row>
  </sheetData>
  <autoFilter ref="A1:K133">
    <sortState ref="A2:K133">
      <sortCondition ref="A2:A133"/>
    </sortState>
  </autoFilter>
  <conditionalFormatting sqref="I2:I133">
    <cfRule type="cellIs" priority="2" operator="greaterThanOrEqual" aboveAverage="0" equalAverage="0" bottom="0" percent="0" rank="0" text="" dxfId="11">
      <formula>80</formula>
    </cfRule>
    <cfRule type="cellIs" priority="3" operator="between" aboveAverage="0" equalAverage="0" bottom="0" percent="0" rank="0" text="" dxfId="12">
      <formula>40</formula>
      <formula>79</formula>
    </cfRule>
    <cfRule type="cellIs" priority="4" operator="lessThan" aboveAverage="0" equalAverage="0" bottom="0" percent="0" rank="0" text="" dxfId="13">
      <formula>40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2026-07-04T18:11:13Z</dcterms:created>
  <dc:creator>openpyxl</dc:creator>
  <dc:description/>
  <dc:language>en-US</dc:language>
  <cp:lastModifiedBy>Abdullah Hashmi</cp:lastModifiedBy>
  <dcterms:modified xsi:type="dcterms:W3CDTF">2026-07-04T22:26:30Z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